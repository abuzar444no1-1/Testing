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Login V2" sheetId="1" r:id="rId4"/>
  </sheets>
  <definedNames/>
  <calcPr/>
</workbook>
</file>

<file path=xl/sharedStrings.xml><?xml version="1.0" encoding="utf-8"?>
<sst xmlns="http://schemas.openxmlformats.org/spreadsheetml/2006/main" count="712" uniqueCount="404">
  <si>
    <t>TEST CASE For Reset Password,Verify Otp ,and Change Password</t>
  </si>
  <si>
    <t xml:space="preserve">Project Name </t>
  </si>
  <si>
    <t>Learning Management System</t>
  </si>
  <si>
    <t xml:space="preserve">Test Case Author </t>
  </si>
  <si>
    <t>Maseera Zulfiqar, Ayesha Fatima</t>
  </si>
  <si>
    <t xml:space="preserve">Priority </t>
  </si>
  <si>
    <t>Urgent</t>
  </si>
  <si>
    <t xml:space="preserve">Test Case Reviewer </t>
  </si>
  <si>
    <t>Muhammad Tahir</t>
  </si>
  <si>
    <t>Total Test Cases</t>
  </si>
  <si>
    <t xml:space="preserve">Description </t>
  </si>
  <si>
    <t>This test case ensures users can securely recover and update their passwords, with proper validation, error handling, and correct system responses for valid and invalid inputs.</t>
  </si>
  <si>
    <t>Test Case Version</t>
  </si>
  <si>
    <t>V1</t>
  </si>
  <si>
    <t>Total Cases pass</t>
  </si>
  <si>
    <t>Test Objective</t>
  </si>
  <si>
    <t>To verify that the Forgot Password, Reset Password, and Change Password functionalities work correctly, ensuring secure password recovery, proper validation, error handling, and accurate system responses for all scenarios.</t>
  </si>
  <si>
    <t>Test Execution Date</t>
  </si>
  <si>
    <t>Total Cases Fail</t>
  </si>
  <si>
    <t>Sr. No</t>
  </si>
  <si>
    <t>Test Case ID</t>
  </si>
  <si>
    <t>Description</t>
  </si>
  <si>
    <t>Input Data</t>
  </si>
  <si>
    <t xml:space="preserve">Results </t>
  </si>
  <si>
    <t>Results Image</t>
  </si>
  <si>
    <t>Test Environment</t>
  </si>
  <si>
    <t xml:space="preserve">Execution Status </t>
  </si>
  <si>
    <t>Bug Severity</t>
  </si>
  <si>
    <t>Bug Priority</t>
  </si>
  <si>
    <t>Notes</t>
  </si>
  <si>
    <t>LOET-RPP-VOP-CPP-001</t>
  </si>
  <si>
    <t>Email field empty</t>
  </si>
  <si>
    <t xml:space="preserve">Email = ""
</t>
  </si>
  <si>
    <t xml:space="preserve">Plese fill this out </t>
  </si>
  <si>
    <t>web</t>
  </si>
  <si>
    <t>Pass</t>
  </si>
  <si>
    <t xml:space="preserve">disabel button when email field is empty </t>
  </si>
  <si>
    <t xml:space="preserve">Check placeholder text visibility in fields  </t>
  </si>
  <si>
    <t>Placeholders are visible in  Email  fields.</t>
  </si>
  <si>
    <t>show email domain suggession</t>
  </si>
  <si>
    <t xml:space="preserve">Invalid email format  </t>
  </si>
  <si>
    <t xml:space="preserve">Email = "abc@"
</t>
  </si>
  <si>
    <t>plses enter a part part following  @ and .</t>
  </si>
  <si>
    <t xml:space="preserve">                                   shows that enter a valid email </t>
  </si>
  <si>
    <t xml:space="preserve"> </t>
  </si>
  <si>
    <t>Email without domain</t>
  </si>
  <si>
    <t xml:space="preserve">Email = "abc@gmail"
</t>
  </si>
  <si>
    <t xml:space="preserve">enter  a valid email address </t>
  </si>
  <si>
    <t>Valid format but unregistered email</t>
  </si>
  <si>
    <t>Email = "notexistuser@gmail.com"</t>
  </si>
  <si>
    <t xml:space="preserve"> replace user not fond with user friendly hint like ,"this email is not registered yet"</t>
  </si>
  <si>
    <t xml:space="preserve">already registred email  </t>
  </si>
  <si>
    <t>vifot29648@cucadas.com</t>
  </si>
  <si>
    <t>otp not sent  user aredy exist</t>
  </si>
  <si>
    <t>show a clear cta like "this email is already registred"</t>
  </si>
  <si>
    <t>registered email</t>
  </si>
  <si>
    <t>catago8010@cucadas.com</t>
  </si>
  <si>
    <t>otp sent successfully</t>
  </si>
  <si>
    <t>here add tis line "please enter the code to continue"</t>
  </si>
  <si>
    <t>Email with spaces</t>
  </si>
  <si>
    <t>user @gmail.com</t>
  </si>
  <si>
    <t>spaces not allowed</t>
  </si>
  <si>
    <t>fail</t>
  </si>
  <si>
    <t>show that "spaces are not allowed "</t>
  </si>
  <si>
    <t>Email in uppercase</t>
  </si>
  <si>
    <t>USER@GMAIL.COM</t>
  </si>
  <si>
    <t>Accept uppercase email</t>
  </si>
  <si>
    <t>add this line "that please check your inbox "</t>
  </si>
  <si>
    <t>Email with multiple dots</t>
  </si>
  <si>
    <t>Email = "user.name.test@gmail.com"</t>
  </si>
  <si>
    <t>sent otp</t>
  </si>
  <si>
    <t xml:space="preserve">allow only single dots for sepration pats </t>
  </si>
  <si>
    <t>Very long email</t>
  </si>
  <si>
    <t>Email = "veryveryverylongemailaddress_more_than_limit@gmail.com"</t>
  </si>
  <si>
    <t xml:space="preserve">show a message like email is too long </t>
  </si>
  <si>
    <t>Email with special characters</t>
  </si>
  <si>
    <t>Email = "user+test@gmail.com"</t>
  </si>
  <si>
    <t>PASS</t>
  </si>
  <si>
    <t xml:space="preserve">no error message needed </t>
  </si>
  <si>
    <t>Emoji in email</t>
  </si>
  <si>
    <t>Email = "user😊@gmail.com"</t>
  </si>
  <si>
    <t>EMOJI NOT ALLOWED</t>
  </si>
  <si>
    <t>FAIL</t>
  </si>
  <si>
    <t xml:space="preserve">shows user friendly message like invalid email-emojis not allowed </t>
  </si>
  <si>
    <t>SQL injection attempt</t>
  </si>
  <si>
    <t>Email = "' OR 1=1 --"</t>
  </si>
  <si>
    <t>invalid email</t>
  </si>
  <si>
    <t>message shows like invalid format detected-plases enter a valid emial</t>
  </si>
  <si>
    <t>XSS script</t>
  </si>
  <si>
    <t>Email = "&lt;script&gt;alert(1)&lt;/script&gt;"</t>
  </si>
  <si>
    <t xml:space="preserve">message shows that scripts and codes are not allowed </t>
  </si>
  <si>
    <t>Page refresh after submit</t>
  </si>
  <si>
    <t>USER already eixst</t>
  </si>
  <si>
    <t>pass</t>
  </si>
  <si>
    <t xml:space="preserve">shows that email already registred please login </t>
  </si>
  <si>
    <t>Mobile view</t>
  </si>
  <si>
    <t>dogaxe4606@dubokutv.com</t>
  </si>
  <si>
    <t>UI responsive</t>
  </si>
  <si>
    <t>Mobile</t>
  </si>
  <si>
    <t>no error message</t>
  </si>
  <si>
    <t>Tablet view</t>
  </si>
  <si>
    <t>tablet</t>
  </si>
  <si>
    <t xml:space="preserve">no error message </t>
  </si>
  <si>
    <t>Browser autofill</t>
  </si>
  <si>
    <t>AUTOFILL EMAIL</t>
  </si>
  <si>
    <t>SELECT EMAIL</t>
  </si>
  <si>
    <t>Copy-paste email</t>
  </si>
  <si>
    <t>Copied email from clipboard</t>
  </si>
  <si>
    <t xml:space="preserve">no errpr message </t>
  </si>
  <si>
    <t>INVAILD OTP</t>
  </si>
  <si>
    <t>mail="dogaxe4606@dubokutv.com"</t>
  </si>
  <si>
    <t>invalid otp</t>
  </si>
  <si>
    <t>add new line that plese request a anew code and try again</t>
  </si>
  <si>
    <t>valid  otp</t>
  </si>
  <si>
    <t>mail="dogaxe4606@dubokutv.com" otp=229305</t>
  </si>
  <si>
    <t>welcome mesaage shown</t>
  </si>
  <si>
    <t xml:space="preserve">add this line your otp has been verified successfully </t>
  </si>
  <si>
    <t>pasword field empty</t>
  </si>
  <si>
    <t xml:space="preserve">
</t>
  </si>
  <si>
    <t>psword required</t>
  </si>
  <si>
    <t xml:space="preserve">add this line plaese enter your pasword to continue </t>
  </si>
  <si>
    <t>Confirm password field empty</t>
  </si>
  <si>
    <t>Password = "Test@123"               Confirm Password = ""</t>
  </si>
  <si>
    <t>DOES NOT MATCH PASWORD</t>
  </si>
  <si>
    <t>add this line "this field cannot be empty</t>
  </si>
  <si>
    <r>
      <rPr>
        <rFont val="Inter"/>
        <b/>
        <color rgb="FF000000"/>
        <sz val="12.0"/>
      </rPr>
      <t>:</t>
    </r>
    <r>
      <rPr>
        <rFont val="Inter"/>
        <b val="0"/>
        <color rgb="FF000000"/>
        <sz val="12.0"/>
      </rPr>
      <t xml:space="preserve"> Password with spaces</t>
    </r>
  </si>
  <si>
    <t xml:space="preserve"> 12   @12 3456</t>
  </si>
  <si>
    <t xml:space="preserve">Aa-Zz and 0-9  and special charcetre  required </t>
  </si>
  <si>
    <t xml:space="preserve">spaces should be disallowed </t>
  </si>
  <si>
    <t>Password &amp; confirm mismatch</t>
  </si>
  <si>
    <t>Password = "Test@123"
Confirm Password = "Test@124"</t>
  </si>
  <si>
    <t>add this ine please re=enter to confirm</t>
  </si>
  <si>
    <t>Weak password</t>
  </si>
  <si>
    <t>Password = "abc123"                    Confirm Password = "abc123"</t>
  </si>
  <si>
    <t xml:space="preserve">PASWORD MUST CONTAIN [Aa-Zz] and 0-9 and special characters </t>
  </si>
  <si>
    <t xml:space="preserve">expired otp </t>
  </si>
  <si>
    <t xml:space="preserve">tp verificatio  failed </t>
  </si>
  <si>
    <t>request anew code and try again</t>
  </si>
  <si>
    <t>Password less than minimum length</t>
  </si>
  <si>
    <t>abc@1</t>
  </si>
  <si>
    <t xml:space="preserve">atleast  8 characters </t>
  </si>
  <si>
    <t>Password more than maximum length</t>
  </si>
  <si>
    <t>VeryVeryLongPassword@123456</t>
  </si>
  <si>
    <t>reset paswor succesfully</t>
  </si>
  <si>
    <t xml:space="preserve">set a maximum pasowrd length </t>
  </si>
  <si>
    <t>Both fields empty</t>
  </si>
  <si>
    <t xml:space="preserve">pasword required </t>
  </si>
  <si>
    <t>pleses fll both to continue</t>
  </si>
  <si>
    <t>Only letters in pasword</t>
  </si>
  <si>
    <t xml:space="preserve">valid pasowrd required </t>
  </si>
  <si>
    <t>Password with special chars</t>
  </si>
  <si>
    <t>Test@#123</t>
  </si>
  <si>
    <t xml:space="preserve">reset paswpord </t>
  </si>
  <si>
    <t>Toggle password visibility</t>
  </si>
  <si>
    <t xml:space="preserve">pasword visible </t>
  </si>
  <si>
    <t>Submit multiple times</t>
  </si>
  <si>
    <t>Only one request processed</t>
  </si>
  <si>
    <t>Reset success message</t>
  </si>
  <si>
    <t>Qwerty@1234</t>
  </si>
  <si>
    <t>reset successful</t>
  </si>
  <si>
    <t>Redirect to login</t>
  </si>
  <si>
    <t>pasowrd:Qwerty@1234</t>
  </si>
  <si>
    <t>Login page automatically open</t>
  </si>
  <si>
    <t>Login with old password</t>
  </si>
  <si>
    <t>pasword: Qwerty1555</t>
  </si>
  <si>
    <t>invalid credentials</t>
  </si>
  <si>
    <t>add this please check your email and pasowrd and try again</t>
  </si>
  <si>
    <t>Login with new password</t>
  </si>
  <si>
    <t>login successful</t>
  </si>
  <si>
    <t>Copy-paste password</t>
  </si>
  <si>
    <t>Verify that UI elements on the Send OTP page do not overlap when the page is opened on a ipad</t>
  </si>
  <si>
    <t>open page in ipad</t>
  </si>
  <si>
    <t>UI elements are overlapping on the tablet view,Excessive and uneven spacing is observed between elements, Page layout appears broken and affects usability</t>
  </si>
  <si>
    <t>ipad</t>
  </si>
  <si>
    <t>Expected Result:: All UI elements should be properly aligned
No overlapping of text, input fields, buttons, or messages
Spacing and padding should be consistent and visually balanced
The page should be fully usable without layout issues</t>
  </si>
  <si>
    <t>Verify that the email address input field border is highlighted when the user clicks or focuses on the field</t>
  </si>
  <si>
    <t>focus on the email address field</t>
  </si>
  <si>
    <t>The OTP input field border should be highlighted on focus</t>
  </si>
  <si>
    <t>Very long password paste</t>
  </si>
  <si>
    <t>asowrd:Qwerty@1234678908765345678978</t>
  </si>
  <si>
    <t>long pasowrd accept</t>
  </si>
  <si>
    <t xml:space="preserve">set a maximum length </t>
  </si>
  <si>
    <t>Eye toggle functionality on confirm password</t>
  </si>
  <si>
    <t>functanility works</t>
  </si>
  <si>
    <t>Keyboard navigation</t>
  </si>
  <si>
    <t>tab navigaton check</t>
  </si>
  <si>
    <t>tab navigation worlks</t>
  </si>
  <si>
    <t>Resend token after timer ends</t>
  </si>
  <si>
    <t xml:space="preserve">otp sent successfully </t>
  </si>
  <si>
    <t xml:space="preserve">paste verifcation code </t>
  </si>
  <si>
    <t xml:space="preserve">not pasted </t>
  </si>
  <si>
    <t xml:space="preserve">allow otp paste </t>
  </si>
  <si>
    <t>tab navigation works</t>
  </si>
  <si>
    <t>works</t>
  </si>
  <si>
    <t>Resend token before timer ends</t>
  </si>
  <si>
    <t>resend in 28s</t>
  </si>
  <si>
    <t>Multiple resend clicks</t>
  </si>
  <si>
    <t xml:space="preserve">multiplr clicks </t>
  </si>
  <si>
    <t>after login immediate forgot password</t>
  </si>
  <si>
    <t>filiweg732@dubokutv.com</t>
  </si>
  <si>
    <t>login successful and opt sent for reset pasowr d</t>
  </si>
  <si>
    <t>Change email on forgot password screen</t>
  </si>
  <si>
    <t>New email accepted</t>
  </si>
  <si>
    <t xml:space="preserve">text visible in email placeholder </t>
  </si>
  <si>
    <t>you@example.com</t>
  </si>
  <si>
    <t>Change email to invalid format</t>
  </si>
  <si>
    <t>filiweg732@dubok</t>
  </si>
  <si>
    <t>Change email to unregistered email</t>
  </si>
  <si>
    <t>maseera@12</t>
  </si>
  <si>
    <t xml:space="preserve">user not found </t>
  </si>
  <si>
    <t>enter registred email</t>
  </si>
  <si>
    <t>Change email after OTP requested</t>
  </si>
  <si>
    <t>Old OTP invalidate</t>
  </si>
  <si>
    <t>OTP resend after email change</t>
  </si>
  <si>
    <t xml:space="preserve">otp sent on latest email </t>
  </si>
  <si>
    <t>OTP reuse attempt</t>
  </si>
  <si>
    <t xml:space="preserve">invalid otp </t>
  </si>
  <si>
    <t>Wrong OTP multiple times</t>
  </si>
  <si>
    <t xml:space="preserve">777777777   88888 6666666 </t>
  </si>
  <si>
    <t xml:space="preserve">invalud or expired otp </t>
  </si>
  <si>
    <t>OTP pasted</t>
  </si>
  <si>
    <t xml:space="preserve">not pasted otp </t>
  </si>
  <si>
    <t>allow otp paste</t>
  </si>
  <si>
    <t xml:space="preserve">forgot paswprd befor registration </t>
  </si>
  <si>
    <t>email :maseera23@gmail.com</t>
  </si>
  <si>
    <t xml:space="preserve">register email </t>
  </si>
  <si>
    <t>forgot-password/Registered email</t>
  </si>
  <si>
    <t xml:space="preserve">   "fabixox619@icousd.com"</t>
  </si>
  <si>
    <t xml:space="preserve">           {
  "message": "OTP sent successfully"
}</t>
  </si>
  <si>
    <t>forgot-password/UnRegistered email</t>
  </si>
  <si>
    <t>"email": "hafsamubeen12@gmail.com"</t>
  </si>
  <si>
    <t>{
  "error": "User not found"
}</t>
  </si>
  <si>
    <t xml:space="preserve">Email as empty string
</t>
  </si>
  <si>
    <t xml:space="preserve"> "email": ""</t>
  </si>
  <si>
    <t>Expected:Validation error (422)
Actual:400 "User not found"
Reason:Empty input par validation layer trigger honi chahiye</t>
  </si>
  <si>
    <t>Email-Required</t>
  </si>
  <si>
    <t xml:space="preserve">
     { }</t>
  </si>
  <si>
    <t xml:space="preserve"> "The Email field is required."   </t>
  </si>
  <si>
    <t>Email without username</t>
  </si>
  <si>
    <t>"email":"@gmail.com"</t>
  </si>
  <si>
    <t>Fail</t>
  </si>
  <si>
    <t>Expected:Email format validation fail
Actual:400 "User not found"
Reason:Invalid format par DB query nahi honi chahiye</t>
  </si>
  <si>
    <t>Uppercase and special Character required</t>
  </si>
  <si>
    <t xml:space="preserve">
"email": "hmadafgmail.com"</t>
  </si>
  <si>
    <t xml:space="preserve"> "error": "User not found"</t>
  </si>
  <si>
    <t>Expected:uppercase and special case required
Actual:400 "User not found"</t>
  </si>
  <si>
    <t>Leading/trailing spaces</t>
  </si>
  <si>
    <t>"email": " werek55607@naqulu.com "</t>
  </si>
  <si>
    <t xml:space="preserve">Expected Result:Token generate ho aur email send ho
Backend spaces trim kare aur DB mein existing email match kare
Actual Result:400 "User not found" </t>
  </si>
  <si>
    <t>Email as only spaces</t>
  </si>
  <si>
    <t>"email": "   "</t>
  </si>
  <si>
    <t>Email without @ symbol</t>
  </si>
  <si>
    <t>"email": "testteacher123.com"</t>
  </si>
  <si>
    <t>Email with spaces inside</t>
  </si>
  <si>
    <t xml:space="preserve"> 
"email": "asmat  mubeen@gmail.com"</t>
  </si>
  <si>
    <t xml:space="preserve">
Email without domain</t>
  </si>
  <si>
    <t xml:space="preserve">    "email": "ayeshastudent@"</t>
  </si>
  <si>
    <t>Email with double dots</t>
  </si>
  <si>
    <t xml:space="preserve">email": "test..student@gmail.com" </t>
  </si>
  <si>
    <t>Email starting with dot</t>
  </si>
  <si>
    <t>"email": ".ayesha@gmail.com"</t>
  </si>
  <si>
    <t>reset-password</t>
  </si>
  <si>
    <t xml:space="preserve">  "email": "pisib85370@icousd.com",
  "otp": "496183",
  "newPassword": "Qwder@1234"</t>
  </si>
  <si>
    <t xml:space="preserve">
  "error": "Invalid or expired OTP"
</t>
  </si>
  <si>
    <t>Excepted:password reset successfully</t>
  </si>
  <si>
    <t>reset-password random email</t>
  </si>
  <si>
    <t xml:space="preserve">  "email": "xihoca1114@gavrom.com",
  "otp": "449478",
  "newPassword": "Qwder@1234"</t>
  </si>
  <si>
    <t>"error": "User not found"</t>
  </si>
  <si>
    <t>Valid OTP ,valid new password</t>
  </si>
  <si>
    <t xml:space="preserve">  "email": "xihoca1114@gavrom.com",
  "otp": "449478",
</t>
  </si>
  <si>
    <t xml:space="preserve">
"error": "Invalid or expired OTP"
</t>
  </si>
  <si>
    <t>Excepted:successfully reset password</t>
  </si>
  <si>
    <t>empty OTP,valid new password</t>
  </si>
  <si>
    <t xml:space="preserve">
  "email": "xoxoney578@naqulu.com",
  "otp": "",
  "newPassword": "Qwder@1234"</t>
  </si>
  <si>
    <t xml:space="preserve">"error": "Invalid or expired OTP"
</t>
  </si>
  <si>
    <t>Excepted:"OTP field is required"
or "OTP cannot be empty"</t>
  </si>
  <si>
    <t xml:space="preserve"> 
Same OTP reuse </t>
  </si>
  <si>
    <t xml:space="preserve">  "email": "werek55607@naqulu.com",
  "otp": "496183",
  "newPassword": "Qwder@1234"</t>
  </si>
  <si>
    <t xml:space="preserve"> Invalid OTP</t>
  </si>
  <si>
    <t xml:space="preserve">  "email": "leyejev446@naqulu.com",
  "otp": "adr2",
  "newPassword": "Wqerty@123"</t>
  </si>
  <si>
    <t>"error": "Invalid or expired OTP"</t>
  </si>
  <si>
    <t>Weak password (12345)</t>
  </si>
  <si>
    <t xml:space="preserve">  "email": "leyejev446@naqulu.com",
  "otp": "496183",
  "newPassword": "897123"</t>
  </si>
  <si>
    <t>Excepted:please enter strong password</t>
  </si>
  <si>
    <t>Expired OTP</t>
  </si>
  <si>
    <t xml:space="preserve">  "email": "xihoca1114@gavrom.com",
  "otp": "424291",
  "newPassword": "ASdfgd@123"</t>
  </si>
  <si>
    <t>Password field empty</t>
  </si>
  <si>
    <t xml:space="preserve">  "email": "xihoca1114@gavrom.com",
  "otp": "424291",
  "newPassword": ""
</t>
  </si>
  <si>
    <t>Excepted:password is required 0r please enter a password</t>
  </si>
  <si>
    <t>Password without special character</t>
  </si>
  <si>
    <t xml:space="preserve"> "email": "xihoca1114@gavrom.com",
  "otp": "424291",
  "newPassword": "Qwgf12355"</t>
  </si>
  <si>
    <t>Excepted:please enter valid password/invalid credintals</t>
  </si>
  <si>
    <t xml:space="preserve">CSRF protection validation </t>
  </si>
  <si>
    <t xml:space="preserve"> "email": "xihoca1114@gavrom.com",
  "otp": "cd",
  "newPassword": "Qwgf12355@ttrwyyvrtcrwqRetrywey@43431" </t>
  </si>
  <si>
    <t>Password without uppercase</t>
  </si>
  <si>
    <t xml:space="preserve">  "email": "xihoca1114@gavrom.com",
  "otp": "424291",
  "newPassword": "werty@123"</t>
  </si>
  <si>
    <t>Excepted:please enter valid passowrd/uppercase is requireed</t>
  </si>
  <si>
    <t>Password without lowercase</t>
  </si>
  <si>
    <t xml:space="preserve">  "email": "xihoca1114@gavrom.com",
  "otp": "424291",
  "newPassword": "QWERTY@123"</t>
  </si>
  <si>
    <r>
      <rPr>
        <rFont val="Inter"/>
        <color rgb="FFFFFFFF"/>
        <sz val="12.0"/>
      </rPr>
      <t xml:space="preserve"> </t>
    </r>
    <r>
      <rPr>
        <rFont val="Inter"/>
        <color rgb="FF000000"/>
        <sz val="12.0"/>
      </rPr>
      <t>"error": "Invalid or expired OTP"</t>
    </r>
  </si>
  <si>
    <t>Excepted:please enter valid passowrd/lowercase is requireed</t>
  </si>
  <si>
    <t xml:space="preserve">  "email": "xihoca1114@gavrom.com",
  "otp": "424291",
  "newPassword": ""</t>
  </si>
  <si>
    <t>Excepted:password is required</t>
  </si>
  <si>
    <t>Password field required</t>
  </si>
  <si>
    <t xml:space="preserve">  "email": "xihoca1114@gavrom.com",
  "otp": "424291",</t>
  </si>
  <si>
    <t>The dto field is required.</t>
  </si>
  <si>
    <t>OTP field empty</t>
  </si>
  <si>
    <t xml:space="preserve">
  "email": "xihoca1114@gavrom.com",
  "otp": "",
  "newPassword": "Qwerty@123"</t>
  </si>
  <si>
    <t>"error":"invalid or expired field"</t>
  </si>
  <si>
    <t>Excepted:otp is required</t>
  </si>
  <si>
    <t>OTP field required</t>
  </si>
  <si>
    <t xml:space="preserve">  
  "email": "admin@oneearthtech.com",
  "password": "Qwerty@123"</t>
  </si>
  <si>
    <t>"The Otp field is required."</t>
  </si>
  <si>
    <t>OTP,email,password field required</t>
  </si>
  <si>
    <t>{}</t>
  </si>
  <si>
    <t>"Otp": [
      "The Otp field is required."
    ],
    "Email": [
      "The Email field is required."
    ],
    "NewPassword": [
      "The NewPassword field is required."
    ]</t>
  </si>
  <si>
    <t>empty OTP,empty password,empty empty email</t>
  </si>
  <si>
    <t xml:space="preserve">  "email": "",
  "otp": "",
  "newPassword": ""</t>
  </si>
  <si>
    <t>error:user not found</t>
  </si>
  <si>
    <t>Excepted:password email and otp is required</t>
  </si>
  <si>
    <t>Password same as old</t>
  </si>
  <si>
    <t xml:space="preserve">  "email": "xihoca1114@gavrom.com",
  "otp": "424291",
  "newPassword": "Qwerty@123"</t>
  </si>
  <si>
    <t>error:invalid and expired otp</t>
  </si>
  <si>
    <t>Excepted:please enter new password</t>
  </si>
  <si>
    <t>Email notification after reset</t>
  </si>
  <si>
    <t xml:space="preserve">  "email": "xihoca1114@gavrom.com",
  "otp": "424291",
  "newPassword": "Qwetyu@123"</t>
  </si>
  <si>
    <t>error :invalid and expired otp</t>
  </si>
  <si>
    <t>Excepted:password reset successful</t>
  </si>
  <si>
    <t>Multiple requests same user</t>
  </si>
  <si>
    <r>
      <rPr>
        <rFont val="Inter"/>
        <color rgb="FFFFFFFF"/>
        <sz val="12.0"/>
      </rPr>
      <t xml:space="preserve"> </t>
    </r>
    <r>
      <rPr>
        <rFont val="Inter"/>
        <color rgb="FF000000"/>
        <sz val="12.0"/>
      </rPr>
      <t>invalid and expired otp</t>
    </r>
  </si>
  <si>
    <t>Excepted:same user do not request multiple time</t>
  </si>
  <si>
    <t>Token/OTP generated successfully</t>
  </si>
  <si>
    <t>email"xihoca1114@gavrom.com"</t>
  </si>
  <si>
    <t>SQL injection attempt in password field</t>
  </si>
  <si>
    <t xml:space="preserve">  "email": "xihoca1114@gavrom.com",
  "otp": "424291",
  "newPassword": "' OR ''='"
</t>
  </si>
  <si>
    <t>invalid and expired otp</t>
  </si>
  <si>
    <t>Excepted:Application SQL injection ko block kare</t>
  </si>
  <si>
    <t>Token Belongs to Another User</t>
  </si>
  <si>
    <t>"email": "userB@test.com",
  "otp": "OTP_OF_USER_A",
  "newPassword": "Strong@123"</t>
  </si>
  <si>
    <t xml:space="preserve">Excepted:   "Reset token already used"
</t>
  </si>
  <si>
    <t>New Password repeating same char</t>
  </si>
  <si>
    <t xml:space="preserve">  "email": "xihoca1114@gavrom.com",
  "otp": "424291",
  "newPassword": "aaay@yss1122"
</t>
  </si>
  <si>
    <t>Excepted:this password is too weak</t>
  </si>
  <si>
    <t>Plain text password never stored</t>
  </si>
  <si>
    <t xml:space="preserve">    "email": "xihoca1114@gavrom.com",
  "otp": "424291",
  "newPassword": "Qwsdf@678"</t>
  </si>
  <si>
    <t>ExpectedResult::Database mein password plain text nahi hona chahiye
Stored value hashed / encrypted ho:
$2b$10$kFJd8s9LQx...   (bcrypt example)</t>
  </si>
  <si>
    <t>XSS attempt in password input</t>
  </si>
  <si>
    <t xml:space="preserve">  "email": "xihoca1114@gavrom.com",
  "otp": "424291",
  "newPassword": "&lt;script&gt;alert(1)&lt;/script&gt;"</t>
  </si>
  <si>
    <t>Expected Result (Secure System):Behavior No popup / alert execute na ho/Password reject ho ya sanitize ho
Reset / login fail ho</t>
  </si>
  <si>
    <t>Response should not reveal email exists or not</t>
  </si>
  <si>
    <t xml:space="preserve">  "email": "xihoca1114@gavrom.com",
  "otp": "424291",
  "newPassword": "Qwerty@667"</t>
  </si>
  <si>
    <t>Token should be randomly generated</t>
  </si>
  <si>
    <t>"email":"cefolad578@emaxasp.com"</t>
  </si>
  <si>
    <t>Token should be single-use only</t>
  </si>
  <si>
    <t xml:space="preserve">  "email": "cefolad578@emaxasp.com",
  "otp": "492931",
  "newPassword": "Qwerty@667"</t>
  </si>
  <si>
    <t>Token should not be guessable</t>
  </si>
  <si>
    <t xml:space="preserve">  "email": "cefolad578@emaxasp.com",
  "otp": "567843",
  "newPassword": "Qwerty@667"</t>
  </si>
  <si>
    <t>Email/SMS send trigger successful</t>
  </si>
  <si>
    <t>"email":"ramami1187@gavrom.com"</t>
  </si>
  <si>
    <t>Token generation failure handling</t>
  </si>
  <si>
    <t>"111abs"</t>
  </si>
  <si>
    <t>"error": "Invalid email address pattren"</t>
  </si>
  <si>
    <t>Valid token but expired</t>
  </si>
  <si>
    <t>"error": "Invalid email expired otp"</t>
  </si>
  <si>
    <t>Excepted:valid but expired otp</t>
  </si>
  <si>
    <t>Token service unreachable</t>
  </si>
  <si>
    <t xml:space="preserve">  "email": "xihoca1114@gavrom.com",
  "otp": "424270",
  "newPassword": "Qwerty@667"</t>
  </si>
  <si>
    <t xml:space="preserve">
"error": "Invalid email expired otp"</t>
  </si>
  <si>
    <t>password with trailing spaces</t>
  </si>
  <si>
    <t xml:space="preserve">  "email": "xihoca1114@gavrom.com",
  "otp": "424291",
  "newPassword": "  Qwerty@667 "</t>
  </si>
  <si>
    <t>OTP with trailing spaces</t>
  </si>
  <si>
    <t xml:space="preserve">  "email": "xihoca1114@gavrom.com",
  "otp": "  4291 ",
  "newPassword": " Qwerty@667"</t>
  </si>
  <si>
    <r>
      <rPr>
        <rFont val="Inter"/>
        <color rgb="FFFFFFFF"/>
        <sz val="12.0"/>
      </rPr>
      <t>,"</t>
    </r>
    <r>
      <rPr>
        <rFont val="Inter"/>
        <color rgb="FF000000"/>
        <sz val="12.0"/>
      </rPr>
      <t>error": "Invalid email expired otp"</t>
    </r>
  </si>
  <si>
    <t>Correct success response after reset</t>
  </si>
  <si>
    <t xml:space="preserve">  "email": "xihoca1114@gavrom.com",
  "otp": " 424291 ",
  "newPassword": " Qwerty@667"</t>
  </si>
  <si>
    <r>
      <rPr>
        <rFont val="Inter"/>
        <color rgb="FFFFFFFF"/>
        <sz val="12.0"/>
      </rPr>
      <t>"</t>
    </r>
    <r>
      <rPr>
        <rFont val="Inter"/>
        <color rgb="FF000000"/>
        <sz val="12.0"/>
      </rPr>
      <t>error": "Invalid email expired otp"</t>
    </r>
  </si>
  <si>
    <t xml:space="preserve">  "email": "xihoca1114@gavrom.com",
  "otp": "424290",
  "newPassword": " Qwerty@667"</t>
  </si>
  <si>
    <t>otp without proper length</t>
  </si>
  <si>
    <t xml:space="preserve">  "email": "xihoca1114@gavrom.com",
  "otp": "4870",
  "newPassword": " Qwerty@667"</t>
  </si>
  <si>
    <t>Missing parameters handling</t>
  </si>
  <si>
    <t>"email": "xihoca1114@gavrom.com",
  "otp": "424291",</t>
  </si>
  <si>
    <t>password field is required</t>
  </si>
  <si>
    <t>OTP resend after changing mail</t>
  </si>
  <si>
    <t>email:"ramami1187@gavrom.com"</t>
  </si>
  <si>
    <t>OTp sent successfully</t>
  </si>
  <si>
    <t>Verify that the system displays an appropriate network error message when the user tries to change the password while the internet connection is unavailable.</t>
  </si>
  <si>
    <t xml:space="preserve">Turn off internet connection (disable network).
Click on the Change Password </t>
  </si>
  <si>
    <r>
      <rPr>
        <rFont val="Inter"/>
        <color rgb="FFFFFFFF"/>
        <sz val="12.0"/>
      </rPr>
      <t xml:space="preserve"> </t>
    </r>
    <r>
      <rPr>
        <rFont val="Inter"/>
        <color rgb="FF000000"/>
        <sz val="12.0"/>
      </rPr>
      <t>network issue</t>
    </r>
  </si>
  <si>
    <t>Verify change password with valid current password and valid new password</t>
  </si>
  <si>
    <t xml:space="preserve">  "email": "rogoba5617@roastic.com",
  "currentPassword": "Qwerty@123",
  "newPassword": "ASDFgh@123"</t>
  </si>
  <si>
    <t>password change successfully</t>
  </si>
  <si>
    <t>verify change password with empty email</t>
  </si>
  <si>
    <t>"email": "",
  "currentPassword": "Qwerty@123",
  "newPassword": "ASDFgh@123"</t>
  </si>
  <si>
    <t>password change failed</t>
  </si>
  <si>
    <t>password change using new weak password</t>
  </si>
  <si>
    <t xml:space="preserve">  "email": "rogoba5617@roastic.com",
  "currentPassword": "Qwerty@123",
  "newPassword": "ASDF"</t>
  </si>
  <si>
    <t xml:space="preserve">verify password change using  current empty password fild </t>
  </si>
  <si>
    <t xml:space="preserve">  "email": "rogoba5617@roastic.com",
  "currentPassword": "",
  "newPassword": "ASDFh@DD123"</t>
  </si>
  <si>
    <r>
      <rPr>
        <rFont val="Inter"/>
        <color rgb="FF000000"/>
        <sz val="12.0"/>
      </rPr>
      <t>Password change failed. Please check your credentials</t>
    </r>
    <r>
      <rPr>
        <rFont val="Inter"/>
        <color rgb="FFFFFFFF"/>
        <sz val="12.0"/>
      </rPr>
      <t>.</t>
    </r>
  </si>
  <si>
    <t>verify password change using imojie in new passwor field</t>
  </si>
  <si>
    <t xml:space="preserve">  "email": "rogoba5617@roastic.com",
  "currentPassword": "Qwerty@123",
  "newPassword": "👌👍🙌🙌"</t>
  </si>
  <si>
    <t>Password change failed. Please check your credentials.</t>
  </si>
  <si>
    <t xml:space="preserve">password change with empty email,empty current password,empty new password </t>
  </si>
  <si>
    <t xml:space="preserve">  "email": "",
  "currentPassword": "",
  "newPassword":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</si>
</sst>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3">
    <font>
      <sz val="10.0"/>
      <color rgb="FF000000"/>
      <name val="Arial"/>
      <scheme val="minor"/>
    </font>
    <font>
      <b/>
      <sz val="14.0"/>
      <color theme="1"/>
      <name val="Inter"/>
    </font>
    <font>
      <b/>
      <sz val="18.0"/>
      <color theme="1"/>
      <name val="Inter"/>
    </font>
    <font>
      <b/>
      <sz val="20.0"/>
      <color theme="1"/>
      <name val="Inter"/>
    </font>
    <font>
      <sz val="10.0"/>
      <color theme="1"/>
      <name val="Inter"/>
    </font>
    <font>
      <sz val="10.0"/>
      <color theme="1"/>
      <name val="Arial"/>
    </font>
    <font>
      <b/>
      <sz val="12.0"/>
      <color rgb="FF000000"/>
      <name val="Inter"/>
    </font>
    <font>
      <sz val="12.0"/>
      <color theme="1"/>
      <name val="Inter"/>
    </font>
    <font>
      <b/>
      <sz val="12.0"/>
      <color theme="1"/>
      <name val="Inter"/>
    </font>
    <font>
      <b/>
      <sz val="12.0"/>
      <color theme="1"/>
      <name val="Arial"/>
    </font>
    <font>
      <sz val="12.0"/>
      <color theme="1"/>
      <name val="Arial"/>
    </font>
    <font>
      <b/>
      <sz val="12.0"/>
      <color rgb="FFFFFFFF"/>
      <name val="Inter"/>
    </font>
    <font>
      <sz val="11.0"/>
      <color theme="1"/>
      <name val="Inter"/>
    </font>
    <font>
      <u/>
      <sz val="12.0"/>
      <color rgb="FF000000"/>
      <name val="Inter"/>
    </font>
    <font>
      <u/>
      <sz val="12.0"/>
      <color rgb="FF000000"/>
      <name val="Inter"/>
    </font>
    <font>
      <u/>
      <sz val="12.0"/>
      <color rgb="FF000000"/>
      <name val="Inter"/>
    </font>
    <font>
      <sz val="12.0"/>
      <color rgb="FF000000"/>
      <name val="Inter"/>
    </font>
    <font>
      <strike/>
      <sz val="10.0"/>
      <color theme="1"/>
      <name val="Inter"/>
    </font>
    <font>
      <sz val="12.0"/>
      <color rgb="FFFFFFFF"/>
      <name val="Inter"/>
    </font>
    <font>
      <sz val="12.0"/>
      <color rgb="FF000000"/>
      <name val="Arial"/>
    </font>
    <font>
      <b/>
      <sz val="14.0"/>
      <color rgb="FF000000"/>
      <name val="Inter"/>
    </font>
    <font>
      <sz val="12.0"/>
      <color rgb="FF000000"/>
      <name val="Consolas"/>
    </font>
    <font>
      <sz val="10.0"/>
      <color rgb="FFFFFFFF"/>
      <name val="Consolas"/>
    </font>
  </fonts>
  <fills count="6">
    <fill>
      <patternFill patternType="none"/>
    </fill>
    <fill>
      <patternFill patternType="lightGray"/>
    </fill>
    <fill>
      <patternFill patternType="solid">
        <fgColor rgb="FFFED730"/>
        <bgColor rgb="FFFED730"/>
      </patternFill>
    </fill>
    <fill>
      <patternFill patternType="solid">
        <fgColor rgb="FFFFFFFF"/>
        <bgColor rgb="FFFFFFFF"/>
      </patternFill>
    </fill>
    <fill>
      <patternFill patternType="solid">
        <fgColor rgb="FF43509B"/>
        <bgColor rgb="FF43509B"/>
      </patternFill>
    </fill>
    <fill>
      <patternFill patternType="solid">
        <fgColor theme="0"/>
        <bgColor theme="0"/>
      </patternFill>
    </fill>
  </fills>
  <borders count="13">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style="thin">
        <color rgb="FF000000"/>
      </right>
      <top style="thin">
        <color rgb="FF000000"/>
      </top>
      <bottom style="thin">
        <color rgb="FF000000"/>
      </bottom>
    </border>
    <border>
      <right style="thin">
        <color rgb="FFFFFFFF"/>
      </right>
      <top style="thin">
        <color rgb="FFFFFFFF"/>
      </top>
      <bottom style="thin">
        <color rgb="FFFFFFFF"/>
      </bottom>
    </border>
    <border>
      <left/>
      <right/>
      <top/>
      <bottom/>
    </border>
    <border>
      <left style="thin">
        <color rgb="FFFFFFFF"/>
      </left>
      <right style="thin">
        <color rgb="FFFFFFFF"/>
      </right>
      <bottom style="thin">
        <color rgb="FFFFFFFF"/>
      </bottom>
    </border>
    <border>
      <left style="thin">
        <color rgb="FF000000"/>
      </left>
      <right style="thin">
        <color rgb="FF000000"/>
      </right>
      <top style="thin">
        <color rgb="FF000000"/>
      </top>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0" fontId="1" numFmtId="0" xfId="0" applyAlignment="1" applyBorder="1" applyFont="1">
      <alignment vertical="center"/>
    </xf>
    <xf borderId="1" fillId="0" fontId="2" numFmtId="0" xfId="0" applyAlignment="1" applyBorder="1" applyFont="1">
      <alignment vertical="center"/>
    </xf>
    <xf borderId="1" fillId="0" fontId="3" numFmtId="0" xfId="0" applyAlignment="1" applyBorder="1" applyFont="1">
      <alignment vertical="center"/>
    </xf>
    <xf borderId="2" fillId="0" fontId="4" numFmtId="0" xfId="0" applyAlignment="1" applyBorder="1" applyFont="1">
      <alignment vertical="center"/>
    </xf>
    <xf borderId="1" fillId="0" fontId="5" numFmtId="0" xfId="0" applyBorder="1" applyFont="1"/>
    <xf borderId="1" fillId="0" fontId="4" numFmtId="0" xfId="0" applyAlignment="1" applyBorder="1" applyFont="1">
      <alignment horizontal="center" vertical="center"/>
    </xf>
    <xf borderId="1" fillId="0" fontId="4" numFmtId="0" xfId="0" applyAlignment="1" applyBorder="1" applyFont="1">
      <alignment vertical="center"/>
    </xf>
    <xf borderId="3" fillId="0" fontId="1" numFmtId="0" xfId="0" applyAlignment="1" applyBorder="1" applyFont="1">
      <alignment vertical="center"/>
    </xf>
    <xf borderId="4" fillId="2" fontId="6" numFmtId="0" xfId="0" applyAlignment="1" applyBorder="1" applyFill="1" applyFont="1">
      <alignment vertical="center"/>
    </xf>
    <xf borderId="4" fillId="3" fontId="7" numFmtId="0" xfId="0" applyAlignment="1" applyBorder="1" applyFill="1" applyFont="1">
      <alignment horizontal="center" vertical="center"/>
    </xf>
    <xf borderId="5" fillId="0" fontId="5" numFmtId="0" xfId="0" applyBorder="1" applyFont="1"/>
    <xf borderId="4" fillId="2" fontId="8" numFmtId="0" xfId="0" applyBorder="1" applyFont="1"/>
    <xf borderId="4" fillId="3" fontId="7" numFmtId="0" xfId="0" applyAlignment="1" applyBorder="1" applyFont="1">
      <alignment horizontal="center" readingOrder="0"/>
    </xf>
    <xf borderId="4" fillId="0" fontId="7" numFmtId="0" xfId="0" applyAlignment="1" applyBorder="1" applyFont="1">
      <alignment horizontal="center"/>
    </xf>
    <xf borderId="6" fillId="2" fontId="9" numFmtId="0" xfId="0" applyAlignment="1" applyBorder="1" applyFont="1">
      <alignment horizontal="center"/>
    </xf>
    <xf borderId="0" fillId="0" fontId="9" numFmtId="0" xfId="0" applyAlignment="1" applyFont="1">
      <alignment horizontal="center"/>
    </xf>
    <xf borderId="4" fillId="3" fontId="7" numFmtId="0" xfId="0" applyAlignment="1" applyBorder="1" applyFont="1">
      <alignment horizontal="right" vertical="center"/>
    </xf>
    <xf borderId="4" fillId="0" fontId="10" numFmtId="164" xfId="0" applyAlignment="1" applyBorder="1" applyFont="1" applyNumberFormat="1">
      <alignment horizontal="center" readingOrder="0"/>
    </xf>
    <xf borderId="7" fillId="0" fontId="7" numFmtId="0" xfId="0" applyAlignment="1" applyBorder="1" applyFont="1">
      <alignment vertical="center"/>
    </xf>
    <xf borderId="1" fillId="0" fontId="7" numFmtId="0" xfId="0" applyAlignment="1" applyBorder="1" applyFont="1">
      <alignment vertical="center"/>
    </xf>
    <xf borderId="2" fillId="0" fontId="7" numFmtId="0" xfId="0" applyAlignment="1" applyBorder="1" applyFont="1">
      <alignment vertical="center"/>
    </xf>
    <xf borderId="8" fillId="4" fontId="11" numFmtId="0" xfId="0" applyAlignment="1" applyBorder="1" applyFill="1" applyFont="1">
      <alignment horizontal="center" shrinkToFit="0" vertical="center" wrapText="1"/>
    </xf>
    <xf borderId="4" fillId="4" fontId="11" numFmtId="0" xfId="0" applyAlignment="1" applyBorder="1" applyFont="1">
      <alignment horizontal="center" shrinkToFit="0" vertical="center" wrapText="1"/>
    </xf>
    <xf borderId="1" fillId="0" fontId="12" numFmtId="0" xfId="0" applyAlignment="1" applyBorder="1" applyFont="1">
      <alignment horizontal="center" vertical="center"/>
    </xf>
    <xf borderId="4" fillId="0" fontId="1" numFmtId="0" xfId="0" applyAlignment="1" applyBorder="1" applyFont="1">
      <alignment horizontal="right" vertical="center"/>
    </xf>
    <xf borderId="9"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4" fillId="0" fontId="7"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0" fillId="0" fontId="5" numFmtId="0" xfId="0" applyFont="1"/>
    <xf borderId="1" fillId="0" fontId="4" numFmtId="0" xfId="0" applyBorder="1" applyFont="1"/>
    <xf borderId="4" fillId="0" fontId="13" numFmtId="0" xfId="0" applyAlignment="1" applyBorder="1" applyFont="1">
      <alignment horizontal="center" readingOrder="0" shrinkToFit="0" vertical="center" wrapText="1"/>
    </xf>
    <xf borderId="10" fillId="0" fontId="7" numFmtId="0" xfId="0" applyAlignment="1" applyBorder="1" applyFont="1">
      <alignment horizontal="center" shrinkToFit="0" vertical="center" wrapText="1"/>
    </xf>
    <xf borderId="0" fillId="0" fontId="14" numFmtId="0" xfId="0" applyAlignment="1" applyFont="1">
      <alignment horizontal="center" readingOrder="0" shrinkToFit="0" vertical="center" wrapText="1"/>
    </xf>
    <xf borderId="0" fillId="0" fontId="8" numFmtId="0" xfId="0" applyAlignment="1" applyFont="1">
      <alignment horizontal="center" shrinkToFit="0" vertical="center" wrapText="1"/>
    </xf>
    <xf borderId="11" fillId="0" fontId="7" numFmtId="0" xfId="0" applyAlignment="1" applyBorder="1" applyFont="1">
      <alignment horizontal="center" shrinkToFit="0" vertical="center" wrapText="1"/>
    </xf>
    <xf borderId="11" fillId="0" fontId="7"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12" fillId="0" fontId="7" numFmtId="0" xfId="0" applyAlignment="1" applyBorder="1" applyFont="1">
      <alignment horizontal="center" shrinkToFit="0" vertical="center" wrapText="1"/>
    </xf>
    <xf borderId="12" fillId="0" fontId="10" numFmtId="0" xfId="0" applyAlignment="1" applyBorder="1" applyFont="1">
      <alignment horizontal="center" shrinkToFit="0" vertical="center" wrapText="1"/>
    </xf>
    <xf borderId="12" fillId="0" fontId="15" numFmtId="0" xfId="0" applyAlignment="1" applyBorder="1" applyFont="1">
      <alignment horizontal="center" readingOrder="0" shrinkToFit="0" vertical="center" wrapText="1"/>
    </xf>
    <xf borderId="12" fillId="0" fontId="7" numFmtId="0" xfId="0" applyAlignment="1" applyBorder="1" applyFont="1">
      <alignment horizontal="center" readingOrder="0" shrinkToFit="0" vertical="center" wrapText="1"/>
    </xf>
    <xf borderId="4" fillId="0" fontId="1" numFmtId="0" xfId="0" applyAlignment="1" applyBorder="1" applyFont="1">
      <alignment vertical="center"/>
    </xf>
    <xf borderId="0" fillId="0" fontId="16" numFmtId="0" xfId="0" applyAlignment="1" applyFont="1">
      <alignment horizontal="center" shrinkToFit="0" vertical="center" wrapText="1"/>
    </xf>
    <xf borderId="1" fillId="0" fontId="17" numFmtId="0" xfId="0" applyAlignment="1" applyBorder="1" applyFont="1">
      <alignment vertical="center"/>
    </xf>
    <xf borderId="0" fillId="0" fontId="18" numFmtId="0" xfId="0" applyAlignment="1" applyFont="1">
      <alignment horizontal="center" shrinkToFit="0" vertical="center" wrapText="1"/>
    </xf>
    <xf borderId="4" fillId="0" fontId="16" numFmtId="0" xfId="0" applyAlignment="1" applyBorder="1" applyFont="1">
      <alignment horizontal="center" readingOrder="0" shrinkToFit="0" vertical="center" wrapText="1"/>
    </xf>
    <xf borderId="4" fillId="0" fontId="16" numFmtId="0" xfId="0" applyAlignment="1" applyBorder="1" applyFont="1">
      <alignment horizontal="center" shrinkToFit="0" vertical="center" wrapText="1"/>
    </xf>
    <xf borderId="5" fillId="0" fontId="4" numFmtId="0" xfId="0" applyAlignment="1" applyBorder="1" applyFont="1">
      <alignment vertical="center"/>
    </xf>
    <xf borderId="6" fillId="5" fontId="16" numFmtId="0" xfId="0" applyAlignment="1" applyBorder="1" applyFill="1" applyFont="1">
      <alignment horizontal="center" shrinkToFit="0" vertical="center" wrapText="1"/>
    </xf>
    <xf borderId="4" fillId="0" fontId="19" numFmtId="0" xfId="0" applyAlignment="1" applyBorder="1" applyFont="1">
      <alignment horizontal="center" shrinkToFit="0" vertical="center" wrapText="1"/>
    </xf>
    <xf borderId="4" fillId="0" fontId="20" numFmtId="0" xfId="0" applyAlignment="1" applyBorder="1" applyFont="1">
      <alignment vertical="center"/>
    </xf>
    <xf borderId="5"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2" fillId="0" fontId="1" numFmtId="0" xfId="0" applyAlignment="1" applyBorder="1" applyFont="1">
      <alignment horizontal="center" vertical="center"/>
    </xf>
    <xf borderId="4" fillId="0" fontId="1" numFmtId="0" xfId="0" applyAlignment="1" applyBorder="1" applyFont="1">
      <alignment horizontal="center" vertical="center"/>
    </xf>
    <xf borderId="1" fillId="0" fontId="7" numFmtId="0" xfId="0" applyAlignment="1" applyBorder="1" applyFont="1">
      <alignment horizontal="center" readingOrder="0" shrinkToFit="0" vertical="center" wrapText="1"/>
    </xf>
    <xf borderId="12" fillId="0" fontId="1" numFmtId="0" xfId="0" applyAlignment="1" applyBorder="1" applyFont="1">
      <alignment horizontal="center" shrinkToFit="0" vertical="center" wrapText="1"/>
    </xf>
    <xf borderId="0" fillId="0" fontId="1" numFmtId="0" xfId="0" applyAlignment="1" applyFont="1">
      <alignment vertical="center"/>
    </xf>
    <xf borderId="0" fillId="0" fontId="7" numFmtId="0" xfId="0" applyAlignment="1" applyFont="1">
      <alignment horizontal="center" readingOrder="0" shrinkToFit="0" vertical="center" wrapText="1"/>
    </xf>
    <xf borderId="6" fillId="3" fontId="16"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0" fillId="0" fontId="21" numFmtId="0" xfId="0" applyAlignment="1" applyFont="1">
      <alignment horizontal="center" shrinkToFit="0" vertical="center" wrapText="1"/>
    </xf>
    <xf borderId="7" fillId="0" fontId="1" numFmtId="0" xfId="0" applyAlignment="1" applyBorder="1" applyFont="1">
      <alignment vertical="center"/>
    </xf>
    <xf borderId="4" fillId="0" fontId="10" numFmtId="0" xfId="0" applyAlignment="1" applyBorder="1" applyFont="1">
      <alignment horizontal="center" vertical="center"/>
    </xf>
    <xf borderId="4" fillId="0" fontId="7" numFmtId="0" xfId="0" applyAlignment="1" applyBorder="1" applyFont="1">
      <alignment horizontal="center" vertical="center"/>
    </xf>
    <xf borderId="0" fillId="0" fontId="22" numFmtId="0" xfId="0" applyAlignment="1" applyFont="1">
      <alignment vertical="center"/>
    </xf>
    <xf borderId="6" fillId="3" fontId="22"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26.png"/><Relationship Id="rId42" Type="http://schemas.openxmlformats.org/officeDocument/2006/relationships/image" Target="../media/image32.png"/><Relationship Id="rId41" Type="http://schemas.openxmlformats.org/officeDocument/2006/relationships/image" Target="../media/image23.png"/><Relationship Id="rId44" Type="http://schemas.openxmlformats.org/officeDocument/2006/relationships/image" Target="../media/image31.png"/><Relationship Id="rId43" Type="http://schemas.openxmlformats.org/officeDocument/2006/relationships/image" Target="../media/image27.png"/><Relationship Id="rId46" Type="http://schemas.openxmlformats.org/officeDocument/2006/relationships/image" Target="../media/image50.png"/><Relationship Id="rId45" Type="http://schemas.openxmlformats.org/officeDocument/2006/relationships/image" Target="../media/image43.png"/><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0.png"/><Relationship Id="rId4" Type="http://schemas.openxmlformats.org/officeDocument/2006/relationships/image" Target="../media/image4.png"/><Relationship Id="rId9" Type="http://schemas.openxmlformats.org/officeDocument/2006/relationships/image" Target="../media/image16.png"/><Relationship Id="rId48" Type="http://schemas.openxmlformats.org/officeDocument/2006/relationships/image" Target="../media/image40.png"/><Relationship Id="rId47" Type="http://schemas.openxmlformats.org/officeDocument/2006/relationships/image" Target="../media/image74.png"/><Relationship Id="rId49" Type="http://schemas.openxmlformats.org/officeDocument/2006/relationships/image" Target="../media/image38.png"/><Relationship Id="rId5" Type="http://schemas.openxmlformats.org/officeDocument/2006/relationships/image" Target="../media/image3.png"/><Relationship Id="rId6" Type="http://schemas.openxmlformats.org/officeDocument/2006/relationships/image" Target="../media/image18.png"/><Relationship Id="rId7" Type="http://schemas.openxmlformats.org/officeDocument/2006/relationships/image" Target="../media/image5.png"/><Relationship Id="rId8" Type="http://schemas.openxmlformats.org/officeDocument/2006/relationships/image" Target="../media/image25.png"/><Relationship Id="rId73" Type="http://schemas.openxmlformats.org/officeDocument/2006/relationships/image" Target="../media/image57.png"/><Relationship Id="rId72" Type="http://schemas.openxmlformats.org/officeDocument/2006/relationships/image" Target="../media/image55.png"/><Relationship Id="rId31" Type="http://schemas.openxmlformats.org/officeDocument/2006/relationships/image" Target="../media/image20.png"/><Relationship Id="rId30" Type="http://schemas.openxmlformats.org/officeDocument/2006/relationships/image" Target="../media/image17.png"/><Relationship Id="rId74" Type="http://schemas.openxmlformats.org/officeDocument/2006/relationships/image" Target="../media/image73.png"/><Relationship Id="rId33" Type="http://schemas.openxmlformats.org/officeDocument/2006/relationships/image" Target="../media/image52.png"/><Relationship Id="rId32" Type="http://schemas.openxmlformats.org/officeDocument/2006/relationships/image" Target="../media/image51.png"/><Relationship Id="rId35" Type="http://schemas.openxmlformats.org/officeDocument/2006/relationships/image" Target="../media/image28.png"/><Relationship Id="rId34" Type="http://schemas.openxmlformats.org/officeDocument/2006/relationships/image" Target="../media/image19.png"/><Relationship Id="rId71" Type="http://schemas.openxmlformats.org/officeDocument/2006/relationships/image" Target="../media/image58.png"/><Relationship Id="rId70" Type="http://schemas.openxmlformats.org/officeDocument/2006/relationships/image" Target="../media/image56.png"/><Relationship Id="rId37" Type="http://schemas.openxmlformats.org/officeDocument/2006/relationships/image" Target="../media/image22.png"/><Relationship Id="rId36" Type="http://schemas.openxmlformats.org/officeDocument/2006/relationships/image" Target="../media/image47.png"/><Relationship Id="rId39" Type="http://schemas.openxmlformats.org/officeDocument/2006/relationships/image" Target="../media/image21.png"/><Relationship Id="rId38" Type="http://schemas.openxmlformats.org/officeDocument/2006/relationships/image" Target="../media/image24.png"/><Relationship Id="rId62" Type="http://schemas.openxmlformats.org/officeDocument/2006/relationships/image" Target="../media/image53.png"/><Relationship Id="rId61" Type="http://schemas.openxmlformats.org/officeDocument/2006/relationships/image" Target="../media/image68.png"/><Relationship Id="rId20" Type="http://schemas.openxmlformats.org/officeDocument/2006/relationships/image" Target="../media/image46.png"/><Relationship Id="rId64" Type="http://schemas.openxmlformats.org/officeDocument/2006/relationships/image" Target="../media/image60.png"/><Relationship Id="rId63" Type="http://schemas.openxmlformats.org/officeDocument/2006/relationships/image" Target="../media/image70.png"/><Relationship Id="rId22" Type="http://schemas.openxmlformats.org/officeDocument/2006/relationships/image" Target="../media/image33.png"/><Relationship Id="rId66" Type="http://schemas.openxmlformats.org/officeDocument/2006/relationships/image" Target="../media/image71.png"/><Relationship Id="rId21" Type="http://schemas.openxmlformats.org/officeDocument/2006/relationships/image" Target="../media/image29.png"/><Relationship Id="rId65" Type="http://schemas.openxmlformats.org/officeDocument/2006/relationships/image" Target="../media/image48.png"/><Relationship Id="rId24" Type="http://schemas.openxmlformats.org/officeDocument/2006/relationships/image" Target="../media/image10.png"/><Relationship Id="rId68" Type="http://schemas.openxmlformats.org/officeDocument/2006/relationships/image" Target="../media/image69.png"/><Relationship Id="rId23" Type="http://schemas.openxmlformats.org/officeDocument/2006/relationships/image" Target="../media/image41.png"/><Relationship Id="rId67" Type="http://schemas.openxmlformats.org/officeDocument/2006/relationships/image" Target="../media/image65.png"/><Relationship Id="rId60" Type="http://schemas.openxmlformats.org/officeDocument/2006/relationships/image" Target="../media/image64.png"/><Relationship Id="rId26" Type="http://schemas.openxmlformats.org/officeDocument/2006/relationships/image" Target="../media/image9.png"/><Relationship Id="rId25" Type="http://schemas.openxmlformats.org/officeDocument/2006/relationships/image" Target="../media/image7.png"/><Relationship Id="rId69" Type="http://schemas.openxmlformats.org/officeDocument/2006/relationships/image" Target="../media/image66.png"/><Relationship Id="rId28" Type="http://schemas.openxmlformats.org/officeDocument/2006/relationships/image" Target="../media/image15.png"/><Relationship Id="rId27" Type="http://schemas.openxmlformats.org/officeDocument/2006/relationships/image" Target="../media/image14.png"/><Relationship Id="rId29" Type="http://schemas.openxmlformats.org/officeDocument/2006/relationships/image" Target="../media/image12.png"/><Relationship Id="rId51" Type="http://schemas.openxmlformats.org/officeDocument/2006/relationships/image" Target="../media/image34.png"/><Relationship Id="rId50" Type="http://schemas.openxmlformats.org/officeDocument/2006/relationships/image" Target="../media/image37.png"/><Relationship Id="rId53" Type="http://schemas.openxmlformats.org/officeDocument/2006/relationships/image" Target="../media/image63.png"/><Relationship Id="rId52" Type="http://schemas.openxmlformats.org/officeDocument/2006/relationships/image" Target="../media/image36.png"/><Relationship Id="rId11" Type="http://schemas.openxmlformats.org/officeDocument/2006/relationships/image" Target="../media/image11.png"/><Relationship Id="rId55" Type="http://schemas.openxmlformats.org/officeDocument/2006/relationships/image" Target="../media/image61.png"/><Relationship Id="rId10" Type="http://schemas.openxmlformats.org/officeDocument/2006/relationships/image" Target="../media/image6.png"/><Relationship Id="rId54" Type="http://schemas.openxmlformats.org/officeDocument/2006/relationships/image" Target="../media/image62.png"/><Relationship Id="rId13" Type="http://schemas.openxmlformats.org/officeDocument/2006/relationships/image" Target="../media/image39.png"/><Relationship Id="rId57" Type="http://schemas.openxmlformats.org/officeDocument/2006/relationships/image" Target="../media/image67.png"/><Relationship Id="rId12" Type="http://schemas.openxmlformats.org/officeDocument/2006/relationships/image" Target="../media/image8.png"/><Relationship Id="rId56" Type="http://schemas.openxmlformats.org/officeDocument/2006/relationships/image" Target="../media/image54.png"/><Relationship Id="rId15" Type="http://schemas.openxmlformats.org/officeDocument/2006/relationships/image" Target="../media/image59.png"/><Relationship Id="rId59" Type="http://schemas.openxmlformats.org/officeDocument/2006/relationships/image" Target="../media/image49.png"/><Relationship Id="rId14" Type="http://schemas.openxmlformats.org/officeDocument/2006/relationships/image" Target="../media/image44.png"/><Relationship Id="rId58" Type="http://schemas.openxmlformats.org/officeDocument/2006/relationships/image" Target="../media/image72.png"/><Relationship Id="rId17" Type="http://schemas.openxmlformats.org/officeDocument/2006/relationships/image" Target="../media/image35.png"/><Relationship Id="rId16" Type="http://schemas.openxmlformats.org/officeDocument/2006/relationships/image" Target="../media/image42.png"/><Relationship Id="rId19" Type="http://schemas.openxmlformats.org/officeDocument/2006/relationships/image" Target="../media/image45.png"/><Relationship Id="rId18"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866775</xdr:colOff>
      <xdr:row>72</xdr:row>
      <xdr:rowOff>114300</xdr:rowOff>
    </xdr:from>
    <xdr:ext cx="1933575" cy="609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1266825</xdr:colOff>
      <xdr:row>73</xdr:row>
      <xdr:rowOff>95250</xdr:rowOff>
    </xdr:from>
    <xdr:ext cx="1952625"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1266825</xdr:colOff>
      <xdr:row>74</xdr:row>
      <xdr:rowOff>95250</xdr:rowOff>
    </xdr:from>
    <xdr:ext cx="1952625"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1352550</xdr:colOff>
      <xdr:row>75</xdr:row>
      <xdr:rowOff>76200</xdr:rowOff>
    </xdr:from>
    <xdr:ext cx="2457450" cy="838200"/>
    <xdr:pic>
      <xdr:nvPicPr>
        <xdr:cNvPr id="0" name="image3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1266825</xdr:colOff>
      <xdr:row>76</xdr:row>
      <xdr:rowOff>95250</xdr:rowOff>
    </xdr:from>
    <xdr:ext cx="1952625"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1266825</xdr:colOff>
      <xdr:row>77</xdr:row>
      <xdr:rowOff>95250</xdr:rowOff>
    </xdr:from>
    <xdr:ext cx="1952625"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1266825</xdr:colOff>
      <xdr:row>78</xdr:row>
      <xdr:rowOff>95250</xdr:rowOff>
    </xdr:from>
    <xdr:ext cx="1952625"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1266825</xdr:colOff>
      <xdr:row>79</xdr:row>
      <xdr:rowOff>95250</xdr:rowOff>
    </xdr:from>
    <xdr:ext cx="2228850"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409575</xdr:colOff>
      <xdr:row>80</xdr:row>
      <xdr:rowOff>95250</xdr:rowOff>
    </xdr:from>
    <xdr:ext cx="2819400"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1123950</xdr:colOff>
      <xdr:row>81</xdr:row>
      <xdr:rowOff>95250</xdr:rowOff>
    </xdr:from>
    <xdr:ext cx="2095500"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790575</xdr:colOff>
      <xdr:row>84</xdr:row>
      <xdr:rowOff>85725</xdr:rowOff>
    </xdr:from>
    <xdr:ext cx="3200400"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1209675</xdr:colOff>
      <xdr:row>83</xdr:row>
      <xdr:rowOff>95250</xdr:rowOff>
    </xdr:from>
    <xdr:ext cx="2009775"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866775</xdr:colOff>
      <xdr:row>82</xdr:row>
      <xdr:rowOff>95250</xdr:rowOff>
    </xdr:from>
    <xdr:ext cx="2352675"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895350</xdr:colOff>
      <xdr:row>84</xdr:row>
      <xdr:rowOff>981075</xdr:rowOff>
    </xdr:from>
    <xdr:ext cx="3000375" cy="9239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695325</xdr:colOff>
      <xdr:row>86</xdr:row>
      <xdr:rowOff>95250</xdr:rowOff>
    </xdr:from>
    <xdr:ext cx="3200400" cy="8382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723900</xdr:colOff>
      <xdr:row>87</xdr:row>
      <xdr:rowOff>171450</xdr:rowOff>
    </xdr:from>
    <xdr:ext cx="2647950" cy="55245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723900</xdr:colOff>
      <xdr:row>88</xdr:row>
      <xdr:rowOff>171450</xdr:rowOff>
    </xdr:from>
    <xdr:ext cx="2647950" cy="55245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723900</xdr:colOff>
      <xdr:row>89</xdr:row>
      <xdr:rowOff>171450</xdr:rowOff>
    </xdr:from>
    <xdr:ext cx="2647950" cy="55245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723900</xdr:colOff>
      <xdr:row>90</xdr:row>
      <xdr:rowOff>171450</xdr:rowOff>
    </xdr:from>
    <xdr:ext cx="2647950" cy="552450"/>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971550</xdr:colOff>
      <xdr:row>92</xdr:row>
      <xdr:rowOff>142875</xdr:rowOff>
    </xdr:from>
    <xdr:ext cx="2247900" cy="6096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409575</xdr:colOff>
      <xdr:row>91</xdr:row>
      <xdr:rowOff>161925</xdr:rowOff>
    </xdr:from>
    <xdr:ext cx="2247900" cy="6096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409575</xdr:colOff>
      <xdr:row>93</xdr:row>
      <xdr:rowOff>161925</xdr:rowOff>
    </xdr:from>
    <xdr:ext cx="2247900" cy="6096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409575</xdr:colOff>
      <xdr:row>94</xdr:row>
      <xdr:rowOff>161925</xdr:rowOff>
    </xdr:from>
    <xdr:ext cx="2247900" cy="6096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409575</xdr:colOff>
      <xdr:row>95</xdr:row>
      <xdr:rowOff>161925</xdr:rowOff>
    </xdr:from>
    <xdr:ext cx="2247900" cy="6096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409575</xdr:colOff>
      <xdr:row>96</xdr:row>
      <xdr:rowOff>161925</xdr:rowOff>
    </xdr:from>
    <xdr:ext cx="2247900" cy="6096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409575</xdr:colOff>
      <xdr:row>97</xdr:row>
      <xdr:rowOff>161925</xdr:rowOff>
    </xdr:from>
    <xdr:ext cx="2247900" cy="6096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409575</xdr:colOff>
      <xdr:row>98</xdr:row>
      <xdr:rowOff>161925</xdr:rowOff>
    </xdr:from>
    <xdr:ext cx="2247900" cy="6096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933450</xdr:colOff>
      <xdr:row>99</xdr:row>
      <xdr:rowOff>104775</xdr:rowOff>
    </xdr:from>
    <xdr:ext cx="2228850" cy="742950"/>
    <xdr:pic>
      <xdr:nvPicPr>
        <xdr:cNvPr id="0" name="image1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123825</xdr:colOff>
      <xdr:row>100</xdr:row>
      <xdr:rowOff>104775</xdr:rowOff>
    </xdr:from>
    <xdr:ext cx="3390900" cy="74295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133350</xdr:colOff>
      <xdr:row>101</xdr:row>
      <xdr:rowOff>66675</xdr:rowOff>
    </xdr:from>
    <xdr:ext cx="3629025" cy="790575"/>
    <xdr:pic>
      <xdr:nvPicPr>
        <xdr:cNvPr id="0" name="image2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561975</xdr:colOff>
      <xdr:row>102</xdr:row>
      <xdr:rowOff>114300</xdr:rowOff>
    </xdr:from>
    <xdr:ext cx="2981325" cy="790575"/>
    <xdr:pic>
      <xdr:nvPicPr>
        <xdr:cNvPr id="0" name="image1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866775</xdr:colOff>
      <xdr:row>103</xdr:row>
      <xdr:rowOff>76200</xdr:rowOff>
    </xdr:from>
    <xdr:ext cx="2352675" cy="742950"/>
    <xdr:pic>
      <xdr:nvPicPr>
        <xdr:cNvPr id="0" name="image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123825</xdr:colOff>
      <xdr:row>104</xdr:row>
      <xdr:rowOff>104775</xdr:rowOff>
    </xdr:from>
    <xdr:ext cx="3390900" cy="74295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123825</xdr:colOff>
      <xdr:row>105</xdr:row>
      <xdr:rowOff>104775</xdr:rowOff>
    </xdr:from>
    <xdr:ext cx="3390900" cy="74295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123825</xdr:colOff>
      <xdr:row>106</xdr:row>
      <xdr:rowOff>104775</xdr:rowOff>
    </xdr:from>
    <xdr:ext cx="3390900" cy="74295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285750</xdr:colOff>
      <xdr:row>107</xdr:row>
      <xdr:rowOff>47625</xdr:rowOff>
    </xdr:from>
    <xdr:ext cx="3762375" cy="70485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123825</xdr:colOff>
      <xdr:row>108</xdr:row>
      <xdr:rowOff>104775</xdr:rowOff>
    </xdr:from>
    <xdr:ext cx="3390900" cy="74295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123825</xdr:colOff>
      <xdr:row>109</xdr:row>
      <xdr:rowOff>104775</xdr:rowOff>
    </xdr:from>
    <xdr:ext cx="3390900" cy="74295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123825</xdr:colOff>
      <xdr:row>110</xdr:row>
      <xdr:rowOff>104775</xdr:rowOff>
    </xdr:from>
    <xdr:ext cx="3390900" cy="74295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123825</xdr:colOff>
      <xdr:row>111</xdr:row>
      <xdr:rowOff>104775</xdr:rowOff>
    </xdr:from>
    <xdr:ext cx="3390900" cy="74295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123825</xdr:colOff>
      <xdr:row>112</xdr:row>
      <xdr:rowOff>104775</xdr:rowOff>
    </xdr:from>
    <xdr:ext cx="3390900" cy="74295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285750</xdr:colOff>
      <xdr:row>114</xdr:row>
      <xdr:rowOff>47625</xdr:rowOff>
    </xdr:from>
    <xdr:ext cx="3762375" cy="70485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409575</xdr:colOff>
      <xdr:row>117</xdr:row>
      <xdr:rowOff>180975</xdr:rowOff>
    </xdr:from>
    <xdr:ext cx="3762375" cy="70485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228600</xdr:colOff>
      <xdr:row>119</xdr:row>
      <xdr:rowOff>47625</xdr:rowOff>
    </xdr:from>
    <xdr:ext cx="3257550" cy="942975"/>
    <xdr:pic>
      <xdr:nvPicPr>
        <xdr:cNvPr id="0" name="image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876300</xdr:colOff>
      <xdr:row>126</xdr:row>
      <xdr:rowOff>228600</xdr:rowOff>
    </xdr:from>
    <xdr:ext cx="2143125" cy="552450"/>
    <xdr:pic>
      <xdr:nvPicPr>
        <xdr:cNvPr id="0" name="image39.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733425</xdr:colOff>
      <xdr:row>127</xdr:row>
      <xdr:rowOff>1009650</xdr:rowOff>
    </xdr:from>
    <xdr:ext cx="3305175" cy="838200"/>
    <xdr:pic>
      <xdr:nvPicPr>
        <xdr:cNvPr id="0" name="image44.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428625</xdr:colOff>
      <xdr:row>129</xdr:row>
      <xdr:rowOff>57150</xdr:rowOff>
    </xdr:from>
    <xdr:ext cx="3486150" cy="923925"/>
    <xdr:pic>
      <xdr:nvPicPr>
        <xdr:cNvPr id="0" name="image59.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828675</xdr:colOff>
      <xdr:row>130</xdr:row>
      <xdr:rowOff>66675</xdr:rowOff>
    </xdr:from>
    <xdr:ext cx="2105025" cy="838200"/>
    <xdr:pic>
      <xdr:nvPicPr>
        <xdr:cNvPr id="0" name="image42.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723900</xdr:colOff>
      <xdr:row>131</xdr:row>
      <xdr:rowOff>57150</xdr:rowOff>
    </xdr:from>
    <xdr:ext cx="2743200" cy="838200"/>
    <xdr:pic>
      <xdr:nvPicPr>
        <xdr:cNvPr id="0" name="image35.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752475</xdr:colOff>
      <xdr:row>132</xdr:row>
      <xdr:rowOff>57150</xdr:rowOff>
    </xdr:from>
    <xdr:ext cx="2914650" cy="838200"/>
    <xdr:pic>
      <xdr:nvPicPr>
        <xdr:cNvPr id="0" name="image1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133350</xdr:colOff>
      <xdr:row>133</xdr:row>
      <xdr:rowOff>57150</xdr:rowOff>
    </xdr:from>
    <xdr:ext cx="2476500" cy="838200"/>
    <xdr:pic>
      <xdr:nvPicPr>
        <xdr:cNvPr id="0" name="image1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133350</xdr:colOff>
      <xdr:row>134</xdr:row>
      <xdr:rowOff>0</xdr:rowOff>
    </xdr:from>
    <xdr:ext cx="2686050" cy="838200"/>
    <xdr:pic>
      <xdr:nvPicPr>
        <xdr:cNvPr id="0" name="image1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790575</xdr:colOff>
      <xdr:row>51</xdr:row>
      <xdr:rowOff>47625</xdr:rowOff>
    </xdr:from>
    <xdr:ext cx="2143125" cy="838200"/>
    <xdr:pic>
      <xdr:nvPicPr>
        <xdr:cNvPr id="0" name="image45.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4972050</xdr:colOff>
      <xdr:row>51</xdr:row>
      <xdr:rowOff>1009650</xdr:rowOff>
    </xdr:from>
    <xdr:ext cx="4200525" cy="923925"/>
    <xdr:pic>
      <xdr:nvPicPr>
        <xdr:cNvPr id="0" name="image4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771525</xdr:colOff>
      <xdr:row>10</xdr:row>
      <xdr:rowOff>114300</xdr:rowOff>
    </xdr:from>
    <xdr:ext cx="2162175" cy="838200"/>
    <xdr:pic>
      <xdr:nvPicPr>
        <xdr:cNvPr id="0" name="image29.pn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323850</xdr:colOff>
      <xdr:row>11</xdr:row>
      <xdr:rowOff>200025</xdr:rowOff>
    </xdr:from>
    <xdr:ext cx="3276600" cy="733425"/>
    <xdr:pic>
      <xdr:nvPicPr>
        <xdr:cNvPr id="0" name="image33.pn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514350</xdr:colOff>
      <xdr:row>12</xdr:row>
      <xdr:rowOff>133350</xdr:rowOff>
    </xdr:from>
    <xdr:ext cx="2819400" cy="800100"/>
    <xdr:pic>
      <xdr:nvPicPr>
        <xdr:cNvPr id="0" name="image41.pn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457200</xdr:colOff>
      <xdr:row>13</xdr:row>
      <xdr:rowOff>114300</xdr:rowOff>
    </xdr:from>
    <xdr:ext cx="2714625" cy="704850"/>
    <xdr:pic>
      <xdr:nvPicPr>
        <xdr:cNvPr id="0" name="image10.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476250</xdr:colOff>
      <xdr:row>14</xdr:row>
      <xdr:rowOff>47625</xdr:rowOff>
    </xdr:from>
    <xdr:ext cx="2381250" cy="857250"/>
    <xdr:pic>
      <xdr:nvPicPr>
        <xdr:cNvPr id="0" name="image7.png"/>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790575</xdr:colOff>
      <xdr:row>15</xdr:row>
      <xdr:rowOff>361950</xdr:rowOff>
    </xdr:from>
    <xdr:ext cx="2362200" cy="314325"/>
    <xdr:pic>
      <xdr:nvPicPr>
        <xdr:cNvPr id="0" name="image9.pn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238125</xdr:colOff>
      <xdr:row>16</xdr:row>
      <xdr:rowOff>133350</xdr:rowOff>
    </xdr:from>
    <xdr:ext cx="3038475" cy="666750"/>
    <xdr:pic>
      <xdr:nvPicPr>
        <xdr:cNvPr id="0" name="image14.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476250</xdr:colOff>
      <xdr:row>17</xdr:row>
      <xdr:rowOff>9525</xdr:rowOff>
    </xdr:from>
    <xdr:ext cx="2847975" cy="914400"/>
    <xdr:pic>
      <xdr:nvPicPr>
        <xdr:cNvPr id="0" name="image15.png"/>
        <xdr:cNvPicPr preferRelativeResize="0"/>
      </xdr:nvPicPr>
      <xdr:blipFill>
        <a:blip cstate="print" r:embed="rId28"/>
        <a:stretch>
          <a:fillRect/>
        </a:stretch>
      </xdr:blipFill>
      <xdr:spPr>
        <a:prstGeom prst="rect">
          <a:avLst/>
        </a:prstGeom>
        <a:noFill/>
      </xdr:spPr>
    </xdr:pic>
    <xdr:clientData fLocksWithSheet="0"/>
  </xdr:oneCellAnchor>
  <xdr:oneCellAnchor>
    <xdr:from>
      <xdr:col>5</xdr:col>
      <xdr:colOff>381000</xdr:colOff>
      <xdr:row>18</xdr:row>
      <xdr:rowOff>95250</xdr:rowOff>
    </xdr:from>
    <xdr:ext cx="3228975" cy="581025"/>
    <xdr:pic>
      <xdr:nvPicPr>
        <xdr:cNvPr id="0" name="image12.png"/>
        <xdr:cNvPicPr preferRelativeResize="0"/>
      </xdr:nvPicPr>
      <xdr:blipFill>
        <a:blip cstate="print" r:embed="rId29"/>
        <a:stretch>
          <a:fillRect/>
        </a:stretch>
      </xdr:blipFill>
      <xdr:spPr>
        <a:prstGeom prst="rect">
          <a:avLst/>
        </a:prstGeom>
        <a:noFill/>
      </xdr:spPr>
    </xdr:pic>
    <xdr:clientData fLocksWithSheet="0"/>
  </xdr:oneCellAnchor>
  <xdr:oneCellAnchor>
    <xdr:from>
      <xdr:col>5</xdr:col>
      <xdr:colOff>381000</xdr:colOff>
      <xdr:row>19</xdr:row>
      <xdr:rowOff>114300</xdr:rowOff>
    </xdr:from>
    <xdr:ext cx="3124200" cy="781050"/>
    <xdr:pic>
      <xdr:nvPicPr>
        <xdr:cNvPr id="0" name="image17.png"/>
        <xdr:cNvPicPr preferRelativeResize="0"/>
      </xdr:nvPicPr>
      <xdr:blipFill>
        <a:blip cstate="print" r:embed="rId30"/>
        <a:stretch>
          <a:fillRect/>
        </a:stretch>
      </xdr:blipFill>
      <xdr:spPr>
        <a:prstGeom prst="rect">
          <a:avLst/>
        </a:prstGeom>
        <a:noFill/>
      </xdr:spPr>
    </xdr:pic>
    <xdr:clientData fLocksWithSheet="0"/>
  </xdr:oneCellAnchor>
  <xdr:oneCellAnchor>
    <xdr:from>
      <xdr:col>5</xdr:col>
      <xdr:colOff>428625</xdr:colOff>
      <xdr:row>21</xdr:row>
      <xdr:rowOff>85725</xdr:rowOff>
    </xdr:from>
    <xdr:ext cx="3381375" cy="733425"/>
    <xdr:pic>
      <xdr:nvPicPr>
        <xdr:cNvPr id="0" name="image20.png"/>
        <xdr:cNvPicPr preferRelativeResize="0"/>
      </xdr:nvPicPr>
      <xdr:blipFill>
        <a:blip cstate="print" r:embed="rId31"/>
        <a:stretch>
          <a:fillRect/>
        </a:stretch>
      </xdr:blipFill>
      <xdr:spPr>
        <a:prstGeom prst="rect">
          <a:avLst/>
        </a:prstGeom>
        <a:noFill/>
      </xdr:spPr>
    </xdr:pic>
    <xdr:clientData fLocksWithSheet="0"/>
  </xdr:oneCellAnchor>
  <xdr:oneCellAnchor>
    <xdr:from>
      <xdr:col>5</xdr:col>
      <xdr:colOff>304800</xdr:colOff>
      <xdr:row>22</xdr:row>
      <xdr:rowOff>85725</xdr:rowOff>
    </xdr:from>
    <xdr:ext cx="3238500" cy="895350"/>
    <xdr:pic>
      <xdr:nvPicPr>
        <xdr:cNvPr id="0" name="image51.png"/>
        <xdr:cNvPicPr preferRelativeResize="0"/>
      </xdr:nvPicPr>
      <xdr:blipFill>
        <a:blip cstate="print" r:embed="rId32"/>
        <a:stretch>
          <a:fillRect/>
        </a:stretch>
      </xdr:blipFill>
      <xdr:spPr>
        <a:prstGeom prst="rect">
          <a:avLst/>
        </a:prstGeom>
        <a:noFill/>
      </xdr:spPr>
    </xdr:pic>
    <xdr:clientData fLocksWithSheet="0"/>
  </xdr:oneCellAnchor>
  <xdr:oneCellAnchor>
    <xdr:from>
      <xdr:col>5</xdr:col>
      <xdr:colOff>552450</xdr:colOff>
      <xdr:row>23</xdr:row>
      <xdr:rowOff>133350</xdr:rowOff>
    </xdr:from>
    <xdr:ext cx="3257550" cy="742950"/>
    <xdr:pic>
      <xdr:nvPicPr>
        <xdr:cNvPr id="0" name="image52.png"/>
        <xdr:cNvPicPr preferRelativeResize="0"/>
      </xdr:nvPicPr>
      <xdr:blipFill>
        <a:blip cstate="print" r:embed="rId33"/>
        <a:stretch>
          <a:fillRect/>
        </a:stretch>
      </xdr:blipFill>
      <xdr:spPr>
        <a:prstGeom prst="rect">
          <a:avLst/>
        </a:prstGeom>
        <a:noFill/>
      </xdr:spPr>
    </xdr:pic>
    <xdr:clientData fLocksWithSheet="0"/>
  </xdr:oneCellAnchor>
  <xdr:oneCellAnchor>
    <xdr:from>
      <xdr:col>5</xdr:col>
      <xdr:colOff>428625</xdr:colOff>
      <xdr:row>24</xdr:row>
      <xdr:rowOff>200025</xdr:rowOff>
    </xdr:from>
    <xdr:ext cx="3152775" cy="742950"/>
    <xdr:pic>
      <xdr:nvPicPr>
        <xdr:cNvPr id="0" name="image19.png"/>
        <xdr:cNvPicPr preferRelativeResize="0"/>
      </xdr:nvPicPr>
      <xdr:blipFill>
        <a:blip cstate="print" r:embed="rId34"/>
        <a:stretch>
          <a:fillRect/>
        </a:stretch>
      </xdr:blipFill>
      <xdr:spPr>
        <a:prstGeom prst="rect">
          <a:avLst/>
        </a:prstGeom>
        <a:noFill/>
      </xdr:spPr>
    </xdr:pic>
    <xdr:clientData fLocksWithSheet="0"/>
  </xdr:oneCellAnchor>
  <xdr:oneCellAnchor>
    <xdr:from>
      <xdr:col>5</xdr:col>
      <xdr:colOff>476250</xdr:colOff>
      <xdr:row>25</xdr:row>
      <xdr:rowOff>409575</xdr:rowOff>
    </xdr:from>
    <xdr:ext cx="3419475" cy="371475"/>
    <xdr:pic>
      <xdr:nvPicPr>
        <xdr:cNvPr id="0" name="image28.png"/>
        <xdr:cNvPicPr preferRelativeResize="0"/>
      </xdr:nvPicPr>
      <xdr:blipFill>
        <a:blip cstate="print" r:embed="rId35"/>
        <a:stretch>
          <a:fillRect/>
        </a:stretch>
      </xdr:blipFill>
      <xdr:spPr>
        <a:prstGeom prst="rect">
          <a:avLst/>
        </a:prstGeom>
        <a:noFill/>
      </xdr:spPr>
    </xdr:pic>
    <xdr:clientData fLocksWithSheet="0"/>
  </xdr:oneCellAnchor>
  <xdr:oneCellAnchor>
    <xdr:from>
      <xdr:col>5</xdr:col>
      <xdr:colOff>762000</xdr:colOff>
      <xdr:row>26</xdr:row>
      <xdr:rowOff>9525</xdr:rowOff>
    </xdr:from>
    <xdr:ext cx="428625" cy="914400"/>
    <xdr:pic>
      <xdr:nvPicPr>
        <xdr:cNvPr id="0" name="image47.png"/>
        <xdr:cNvPicPr preferRelativeResize="0"/>
      </xdr:nvPicPr>
      <xdr:blipFill>
        <a:blip cstate="print" r:embed="rId36"/>
        <a:stretch>
          <a:fillRect/>
        </a:stretch>
      </xdr:blipFill>
      <xdr:spPr>
        <a:prstGeom prst="rect">
          <a:avLst/>
        </a:prstGeom>
        <a:noFill/>
      </xdr:spPr>
    </xdr:pic>
    <xdr:clientData fLocksWithSheet="0"/>
  </xdr:oneCellAnchor>
  <xdr:oneCellAnchor>
    <xdr:from>
      <xdr:col>5</xdr:col>
      <xdr:colOff>914400</xdr:colOff>
      <xdr:row>27</xdr:row>
      <xdr:rowOff>171450</xdr:rowOff>
    </xdr:from>
    <xdr:ext cx="647700" cy="676275"/>
    <xdr:pic>
      <xdr:nvPicPr>
        <xdr:cNvPr id="0" name="image22.png"/>
        <xdr:cNvPicPr preferRelativeResize="0"/>
      </xdr:nvPicPr>
      <xdr:blipFill>
        <a:blip cstate="print" r:embed="rId37"/>
        <a:stretch>
          <a:fillRect/>
        </a:stretch>
      </xdr:blipFill>
      <xdr:spPr>
        <a:prstGeom prst="rect">
          <a:avLst/>
        </a:prstGeom>
        <a:noFill/>
      </xdr:spPr>
    </xdr:pic>
    <xdr:clientData fLocksWithSheet="0"/>
  </xdr:oneCellAnchor>
  <xdr:oneCellAnchor>
    <xdr:from>
      <xdr:col>5</xdr:col>
      <xdr:colOff>95250</xdr:colOff>
      <xdr:row>29</xdr:row>
      <xdr:rowOff>257175</xdr:rowOff>
    </xdr:from>
    <xdr:ext cx="3038475" cy="666750"/>
    <xdr:pic>
      <xdr:nvPicPr>
        <xdr:cNvPr id="0" name="image14.pn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30</xdr:row>
      <xdr:rowOff>0</xdr:rowOff>
    </xdr:from>
    <xdr:ext cx="3914775" cy="857250"/>
    <xdr:pic>
      <xdr:nvPicPr>
        <xdr:cNvPr id="0" name="image24.png"/>
        <xdr:cNvPicPr preferRelativeResize="0"/>
      </xdr:nvPicPr>
      <xdr:blipFill>
        <a:blip cstate="print" r:embed="rId38"/>
        <a:stretch>
          <a:fillRect/>
        </a:stretch>
      </xdr:blipFill>
      <xdr:spPr>
        <a:prstGeom prst="rect">
          <a:avLst/>
        </a:prstGeom>
        <a:noFill/>
      </xdr:spPr>
    </xdr:pic>
    <xdr:clientData fLocksWithSheet="0"/>
  </xdr:oneCellAnchor>
  <xdr:oneCellAnchor>
    <xdr:from>
      <xdr:col>5</xdr:col>
      <xdr:colOff>238125</xdr:colOff>
      <xdr:row>32</xdr:row>
      <xdr:rowOff>190500</xdr:rowOff>
    </xdr:from>
    <xdr:ext cx="3762375" cy="647700"/>
    <xdr:pic>
      <xdr:nvPicPr>
        <xdr:cNvPr id="0" name="image21.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66675</xdr:colOff>
      <xdr:row>33</xdr:row>
      <xdr:rowOff>285750</xdr:rowOff>
    </xdr:from>
    <xdr:ext cx="4000500" cy="476250"/>
    <xdr:pic>
      <xdr:nvPicPr>
        <xdr:cNvPr id="0" name="image26.png"/>
        <xdr:cNvPicPr preferRelativeResize="0"/>
      </xdr:nvPicPr>
      <xdr:blipFill>
        <a:blip cstate="print" r:embed="rId40"/>
        <a:stretch>
          <a:fillRect/>
        </a:stretch>
      </xdr:blipFill>
      <xdr:spPr>
        <a:prstGeom prst="rect">
          <a:avLst/>
        </a:prstGeom>
        <a:noFill/>
      </xdr:spPr>
    </xdr:pic>
    <xdr:clientData fLocksWithSheet="0"/>
  </xdr:oneCellAnchor>
  <xdr:oneCellAnchor>
    <xdr:from>
      <xdr:col>5</xdr:col>
      <xdr:colOff>304800</xdr:colOff>
      <xdr:row>34</xdr:row>
      <xdr:rowOff>190500</xdr:rowOff>
    </xdr:from>
    <xdr:ext cx="3552825" cy="600075"/>
    <xdr:pic>
      <xdr:nvPicPr>
        <xdr:cNvPr id="0" name="image23.png"/>
        <xdr:cNvPicPr preferRelativeResize="0"/>
      </xdr:nvPicPr>
      <xdr:blipFill>
        <a:blip cstate="print" r:embed="rId41"/>
        <a:stretch>
          <a:fillRect/>
        </a:stretch>
      </xdr:blipFill>
      <xdr:spPr>
        <a:prstGeom prst="rect">
          <a:avLst/>
        </a:prstGeom>
        <a:noFill/>
      </xdr:spPr>
    </xdr:pic>
    <xdr:clientData fLocksWithSheet="0"/>
  </xdr:oneCellAnchor>
  <xdr:oneCellAnchor>
    <xdr:from>
      <xdr:col>5</xdr:col>
      <xdr:colOff>257175</xdr:colOff>
      <xdr:row>35</xdr:row>
      <xdr:rowOff>200025</xdr:rowOff>
    </xdr:from>
    <xdr:ext cx="3752850" cy="523875"/>
    <xdr:pic>
      <xdr:nvPicPr>
        <xdr:cNvPr id="0" name="image32.png"/>
        <xdr:cNvPicPr preferRelativeResize="0"/>
      </xdr:nvPicPr>
      <xdr:blipFill>
        <a:blip cstate="print" r:embed="rId42"/>
        <a:stretch>
          <a:fillRect/>
        </a:stretch>
      </xdr:blipFill>
      <xdr:spPr>
        <a:prstGeom prst="rect">
          <a:avLst/>
        </a:prstGeom>
        <a:noFill/>
      </xdr:spPr>
    </xdr:pic>
    <xdr:clientData fLocksWithSheet="0"/>
  </xdr:oneCellAnchor>
  <xdr:oneCellAnchor>
    <xdr:from>
      <xdr:col>5</xdr:col>
      <xdr:colOff>152400</xdr:colOff>
      <xdr:row>36</xdr:row>
      <xdr:rowOff>133350</xdr:rowOff>
    </xdr:from>
    <xdr:ext cx="3695700" cy="676275"/>
    <xdr:pic>
      <xdr:nvPicPr>
        <xdr:cNvPr id="0" name="image27.png"/>
        <xdr:cNvPicPr preferRelativeResize="0"/>
      </xdr:nvPicPr>
      <xdr:blipFill>
        <a:blip cstate="print" r:embed="rId43"/>
        <a:stretch>
          <a:fillRect/>
        </a:stretch>
      </xdr:blipFill>
      <xdr:spPr>
        <a:prstGeom prst="rect">
          <a:avLst/>
        </a:prstGeom>
        <a:noFill/>
      </xdr:spPr>
    </xdr:pic>
    <xdr:clientData fLocksWithSheet="0"/>
  </xdr:oneCellAnchor>
  <xdr:oneCellAnchor>
    <xdr:from>
      <xdr:col>5</xdr:col>
      <xdr:colOff>257175</xdr:colOff>
      <xdr:row>37</xdr:row>
      <xdr:rowOff>238125</xdr:rowOff>
    </xdr:from>
    <xdr:ext cx="3724275" cy="590550"/>
    <xdr:pic>
      <xdr:nvPicPr>
        <xdr:cNvPr id="0" name="image31.png"/>
        <xdr:cNvPicPr preferRelativeResize="0"/>
      </xdr:nvPicPr>
      <xdr:blipFill>
        <a:blip cstate="print" r:embed="rId44"/>
        <a:stretch>
          <a:fillRect/>
        </a:stretch>
      </xdr:blipFill>
      <xdr:spPr>
        <a:prstGeom prst="rect">
          <a:avLst/>
        </a:prstGeom>
        <a:noFill/>
      </xdr:spPr>
    </xdr:pic>
    <xdr:clientData fLocksWithSheet="0"/>
  </xdr:oneCellAnchor>
  <xdr:oneCellAnchor>
    <xdr:from>
      <xdr:col>5</xdr:col>
      <xdr:colOff>190500</xdr:colOff>
      <xdr:row>38</xdr:row>
      <xdr:rowOff>276225</xdr:rowOff>
    </xdr:from>
    <xdr:ext cx="3333750" cy="476250"/>
    <xdr:pic>
      <xdr:nvPicPr>
        <xdr:cNvPr id="0" name="image43.png"/>
        <xdr:cNvPicPr preferRelativeResize="0"/>
      </xdr:nvPicPr>
      <xdr:blipFill>
        <a:blip cstate="print" r:embed="rId45"/>
        <a:stretch>
          <a:fillRect/>
        </a:stretch>
      </xdr:blipFill>
      <xdr:spPr>
        <a:prstGeom prst="rect">
          <a:avLst/>
        </a:prstGeom>
        <a:noFill/>
      </xdr:spPr>
    </xdr:pic>
    <xdr:clientData fLocksWithSheet="0"/>
  </xdr:oneCellAnchor>
  <xdr:oneCellAnchor>
    <xdr:from>
      <xdr:col>5</xdr:col>
      <xdr:colOff>190500</xdr:colOff>
      <xdr:row>39</xdr:row>
      <xdr:rowOff>200025</xdr:rowOff>
    </xdr:from>
    <xdr:ext cx="3819525" cy="676275"/>
    <xdr:pic>
      <xdr:nvPicPr>
        <xdr:cNvPr id="0" name="image50.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381000</xdr:colOff>
      <xdr:row>40</xdr:row>
      <xdr:rowOff>323850</xdr:rowOff>
    </xdr:from>
    <xdr:ext cx="3514725" cy="600075"/>
    <xdr:pic>
      <xdr:nvPicPr>
        <xdr:cNvPr id="0" name="image21.png"/>
        <xdr:cNvPicPr preferRelativeResize="0"/>
      </xdr:nvPicPr>
      <xdr:blipFill>
        <a:blip cstate="print" r:embed="rId39"/>
        <a:stretch>
          <a:fillRect/>
        </a:stretch>
      </xdr:blipFill>
      <xdr:spPr>
        <a:prstGeom prst="rect">
          <a:avLst/>
        </a:prstGeom>
        <a:noFill/>
      </xdr:spPr>
    </xdr:pic>
    <xdr:clientData fLocksWithSheet="0"/>
  </xdr:oneCellAnchor>
  <xdr:oneCellAnchor>
    <xdr:from>
      <xdr:col>5</xdr:col>
      <xdr:colOff>200025</xdr:colOff>
      <xdr:row>41</xdr:row>
      <xdr:rowOff>171450</xdr:rowOff>
    </xdr:from>
    <xdr:ext cx="3648075" cy="742950"/>
    <xdr:pic>
      <xdr:nvPicPr>
        <xdr:cNvPr id="0" name="image74.png"/>
        <xdr:cNvPicPr preferRelativeResize="0"/>
      </xdr:nvPicPr>
      <xdr:blipFill>
        <a:blip cstate="print" r:embed="rId47"/>
        <a:stretch>
          <a:fillRect/>
        </a:stretch>
      </xdr:blipFill>
      <xdr:spPr>
        <a:prstGeom prst="rect">
          <a:avLst/>
        </a:prstGeom>
        <a:noFill/>
      </xdr:spPr>
    </xdr:pic>
    <xdr:clientData fLocksWithSheet="0"/>
  </xdr:oneCellAnchor>
  <xdr:oneCellAnchor>
    <xdr:from>
      <xdr:col>5</xdr:col>
      <xdr:colOff>552450</xdr:colOff>
      <xdr:row>43</xdr:row>
      <xdr:rowOff>66675</xdr:rowOff>
    </xdr:from>
    <xdr:ext cx="2305050" cy="952500"/>
    <xdr:pic>
      <xdr:nvPicPr>
        <xdr:cNvPr id="0" name="image40.png"/>
        <xdr:cNvPicPr preferRelativeResize="0"/>
      </xdr:nvPicPr>
      <xdr:blipFill>
        <a:blip cstate="print" r:embed="rId48"/>
        <a:stretch>
          <a:fillRect/>
        </a:stretch>
      </xdr:blipFill>
      <xdr:spPr>
        <a:prstGeom prst="rect">
          <a:avLst/>
        </a:prstGeom>
        <a:noFill/>
      </xdr:spPr>
    </xdr:pic>
    <xdr:clientData fLocksWithSheet="0"/>
  </xdr:oneCellAnchor>
  <xdr:oneCellAnchor>
    <xdr:from>
      <xdr:col>5</xdr:col>
      <xdr:colOff>276225</xdr:colOff>
      <xdr:row>44</xdr:row>
      <xdr:rowOff>190500</xdr:rowOff>
    </xdr:from>
    <xdr:ext cx="3038475" cy="533400"/>
    <xdr:pic>
      <xdr:nvPicPr>
        <xdr:cNvPr id="0" name="image50.png"/>
        <xdr:cNvPicPr preferRelativeResize="0"/>
      </xdr:nvPicPr>
      <xdr:blipFill>
        <a:blip cstate="print" r:embed="rId46"/>
        <a:stretch>
          <a:fillRect/>
        </a:stretch>
      </xdr:blipFill>
      <xdr:spPr>
        <a:prstGeom prst="rect">
          <a:avLst/>
        </a:prstGeom>
        <a:noFill/>
      </xdr:spPr>
    </xdr:pic>
    <xdr:clientData fLocksWithSheet="0"/>
  </xdr:oneCellAnchor>
  <xdr:oneCellAnchor>
    <xdr:from>
      <xdr:col>5</xdr:col>
      <xdr:colOff>552450</xdr:colOff>
      <xdr:row>45</xdr:row>
      <xdr:rowOff>47625</xdr:rowOff>
    </xdr:from>
    <xdr:ext cx="3248025" cy="1009650"/>
    <xdr:pic>
      <xdr:nvPicPr>
        <xdr:cNvPr id="0" name="image38.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2609850</xdr:colOff>
      <xdr:row>46</xdr:row>
      <xdr:rowOff>171450</xdr:rowOff>
    </xdr:from>
    <xdr:ext cx="838200" cy="742950"/>
    <xdr:pic>
      <xdr:nvPicPr>
        <xdr:cNvPr id="0" name="image37.png"/>
        <xdr:cNvPicPr preferRelativeResize="0"/>
      </xdr:nvPicPr>
      <xdr:blipFill>
        <a:blip cstate="print" r:embed="rId50"/>
        <a:stretch>
          <a:fillRect/>
        </a:stretch>
      </xdr:blipFill>
      <xdr:spPr>
        <a:prstGeom prst="rect">
          <a:avLst/>
        </a:prstGeom>
        <a:noFill/>
      </xdr:spPr>
    </xdr:pic>
    <xdr:clientData fLocksWithSheet="0"/>
  </xdr:oneCellAnchor>
  <xdr:oneCellAnchor>
    <xdr:from>
      <xdr:col>5</xdr:col>
      <xdr:colOff>1276350</xdr:colOff>
      <xdr:row>46</xdr:row>
      <xdr:rowOff>962025</xdr:rowOff>
    </xdr:from>
    <xdr:ext cx="1724025" cy="1076325"/>
    <xdr:pic>
      <xdr:nvPicPr>
        <xdr:cNvPr id="0" name="image34.png"/>
        <xdr:cNvPicPr preferRelativeResize="0"/>
      </xdr:nvPicPr>
      <xdr:blipFill>
        <a:blip cstate="print" r:embed="rId51"/>
        <a:stretch>
          <a:fillRect/>
        </a:stretch>
      </xdr:blipFill>
      <xdr:spPr>
        <a:prstGeom prst="rect">
          <a:avLst/>
        </a:prstGeom>
        <a:noFill/>
      </xdr:spPr>
    </xdr:pic>
    <xdr:clientData fLocksWithSheet="0"/>
  </xdr:oneCellAnchor>
  <xdr:oneCellAnchor>
    <xdr:from>
      <xdr:col>5</xdr:col>
      <xdr:colOff>342900</xdr:colOff>
      <xdr:row>48</xdr:row>
      <xdr:rowOff>85725</xdr:rowOff>
    </xdr:from>
    <xdr:ext cx="3267075" cy="819150"/>
    <xdr:pic>
      <xdr:nvPicPr>
        <xdr:cNvPr id="0" name="image36.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571500</xdr:colOff>
      <xdr:row>49</xdr:row>
      <xdr:rowOff>66675</xdr:rowOff>
    </xdr:from>
    <xdr:ext cx="3267075" cy="819150"/>
    <xdr:pic>
      <xdr:nvPicPr>
        <xdr:cNvPr id="0" name="image36.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495300</xdr:colOff>
      <xdr:row>50</xdr:row>
      <xdr:rowOff>0</xdr:rowOff>
    </xdr:from>
    <xdr:ext cx="3267075" cy="819150"/>
    <xdr:pic>
      <xdr:nvPicPr>
        <xdr:cNvPr id="0" name="image36.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171450</xdr:colOff>
      <xdr:row>53</xdr:row>
      <xdr:rowOff>95250</xdr:rowOff>
    </xdr:from>
    <xdr:ext cx="3267075" cy="819150"/>
    <xdr:pic>
      <xdr:nvPicPr>
        <xdr:cNvPr id="0" name="image36.png"/>
        <xdr:cNvPicPr preferRelativeResize="0"/>
      </xdr:nvPicPr>
      <xdr:blipFill>
        <a:blip cstate="print" r:embed="rId52"/>
        <a:stretch>
          <a:fillRect/>
        </a:stretch>
      </xdr:blipFill>
      <xdr:spPr>
        <a:prstGeom prst="rect">
          <a:avLst/>
        </a:prstGeom>
        <a:noFill/>
      </xdr:spPr>
    </xdr:pic>
    <xdr:clientData fLocksWithSheet="0"/>
  </xdr:oneCellAnchor>
  <xdr:oneCellAnchor>
    <xdr:from>
      <xdr:col>5</xdr:col>
      <xdr:colOff>476250</xdr:colOff>
      <xdr:row>54</xdr:row>
      <xdr:rowOff>85725</xdr:rowOff>
    </xdr:from>
    <xdr:ext cx="2676525" cy="885825"/>
    <xdr:pic>
      <xdr:nvPicPr>
        <xdr:cNvPr id="0" name="image63.png"/>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723900</xdr:colOff>
      <xdr:row>55</xdr:row>
      <xdr:rowOff>152400</xdr:rowOff>
    </xdr:from>
    <xdr:ext cx="1733550" cy="571500"/>
    <xdr:pic>
      <xdr:nvPicPr>
        <xdr:cNvPr id="0" name="image63.png"/>
        <xdr:cNvPicPr preferRelativeResize="0"/>
      </xdr:nvPicPr>
      <xdr:blipFill>
        <a:blip cstate="print" r:embed="rId53"/>
        <a:stretch>
          <a:fillRect/>
        </a:stretch>
      </xdr:blipFill>
      <xdr:spPr>
        <a:prstGeom prst="rect">
          <a:avLst/>
        </a:prstGeom>
        <a:noFill/>
      </xdr:spPr>
    </xdr:pic>
    <xdr:clientData fLocksWithSheet="0"/>
  </xdr:oneCellAnchor>
  <xdr:oneCellAnchor>
    <xdr:from>
      <xdr:col>5</xdr:col>
      <xdr:colOff>276225</xdr:colOff>
      <xdr:row>56</xdr:row>
      <xdr:rowOff>152400</xdr:rowOff>
    </xdr:from>
    <xdr:ext cx="4410075" cy="514350"/>
    <xdr:pic>
      <xdr:nvPicPr>
        <xdr:cNvPr id="0" name="image62.png"/>
        <xdr:cNvPicPr preferRelativeResize="0"/>
      </xdr:nvPicPr>
      <xdr:blipFill>
        <a:blip cstate="print" r:embed="rId54"/>
        <a:stretch>
          <a:fillRect/>
        </a:stretch>
      </xdr:blipFill>
      <xdr:spPr>
        <a:prstGeom prst="rect">
          <a:avLst/>
        </a:prstGeom>
        <a:noFill/>
      </xdr:spPr>
    </xdr:pic>
    <xdr:clientData fLocksWithSheet="0"/>
  </xdr:oneCellAnchor>
  <xdr:oneCellAnchor>
    <xdr:from>
      <xdr:col>5</xdr:col>
      <xdr:colOff>495300</xdr:colOff>
      <xdr:row>57</xdr:row>
      <xdr:rowOff>114300</xdr:rowOff>
    </xdr:from>
    <xdr:ext cx="2981325" cy="866775"/>
    <xdr:pic>
      <xdr:nvPicPr>
        <xdr:cNvPr id="0" name="image61.png"/>
        <xdr:cNvPicPr preferRelativeResize="0"/>
      </xdr:nvPicPr>
      <xdr:blipFill>
        <a:blip cstate="print" r:embed="rId55"/>
        <a:stretch>
          <a:fillRect/>
        </a:stretch>
      </xdr:blipFill>
      <xdr:spPr>
        <a:prstGeom prst="rect">
          <a:avLst/>
        </a:prstGeom>
        <a:noFill/>
      </xdr:spPr>
    </xdr:pic>
    <xdr:clientData fLocksWithSheet="0"/>
  </xdr:oneCellAnchor>
  <xdr:oneCellAnchor>
    <xdr:from>
      <xdr:col>5</xdr:col>
      <xdr:colOff>981075</xdr:colOff>
      <xdr:row>58</xdr:row>
      <xdr:rowOff>152400</xdr:rowOff>
    </xdr:from>
    <xdr:ext cx="2000250" cy="762000"/>
    <xdr:pic>
      <xdr:nvPicPr>
        <xdr:cNvPr id="0" name="image54.png"/>
        <xdr:cNvPicPr preferRelativeResize="0"/>
      </xdr:nvPicPr>
      <xdr:blipFill>
        <a:blip cstate="print" r:embed="rId56"/>
        <a:stretch>
          <a:fillRect/>
        </a:stretch>
      </xdr:blipFill>
      <xdr:spPr>
        <a:prstGeom prst="rect">
          <a:avLst/>
        </a:prstGeom>
        <a:noFill/>
      </xdr:spPr>
    </xdr:pic>
    <xdr:clientData fLocksWithSheet="0"/>
  </xdr:oneCellAnchor>
  <xdr:oneCellAnchor>
    <xdr:from>
      <xdr:col>5</xdr:col>
      <xdr:colOff>1066800</xdr:colOff>
      <xdr:row>59</xdr:row>
      <xdr:rowOff>200025</xdr:rowOff>
    </xdr:from>
    <xdr:ext cx="1400175" cy="609600"/>
    <xdr:pic>
      <xdr:nvPicPr>
        <xdr:cNvPr id="0" name="image67.png"/>
        <xdr:cNvPicPr preferRelativeResize="0"/>
      </xdr:nvPicPr>
      <xdr:blipFill>
        <a:blip cstate="print" r:embed="rId57"/>
        <a:stretch>
          <a:fillRect/>
        </a:stretch>
      </xdr:blipFill>
      <xdr:spPr>
        <a:prstGeom prst="rect">
          <a:avLst/>
        </a:prstGeom>
        <a:noFill/>
      </xdr:spPr>
    </xdr:pic>
    <xdr:clientData fLocksWithSheet="0"/>
  </xdr:oneCellAnchor>
  <xdr:oneCellAnchor>
    <xdr:from>
      <xdr:col>5</xdr:col>
      <xdr:colOff>876300</xdr:colOff>
      <xdr:row>60</xdr:row>
      <xdr:rowOff>47625</xdr:rowOff>
    </xdr:from>
    <xdr:ext cx="1457325" cy="752475"/>
    <xdr:pic>
      <xdr:nvPicPr>
        <xdr:cNvPr id="0" name="image72.png"/>
        <xdr:cNvPicPr preferRelativeResize="0"/>
      </xdr:nvPicPr>
      <xdr:blipFill>
        <a:blip cstate="print" r:embed="rId58"/>
        <a:stretch>
          <a:fillRect/>
        </a:stretch>
      </xdr:blipFill>
      <xdr:spPr>
        <a:prstGeom prst="rect">
          <a:avLst/>
        </a:prstGeom>
        <a:noFill/>
      </xdr:spPr>
    </xdr:pic>
    <xdr:clientData fLocksWithSheet="0"/>
  </xdr:oneCellAnchor>
  <xdr:oneCellAnchor>
    <xdr:from>
      <xdr:col>5</xdr:col>
      <xdr:colOff>85725</xdr:colOff>
      <xdr:row>61</xdr:row>
      <xdr:rowOff>171450</xdr:rowOff>
    </xdr:from>
    <xdr:ext cx="2171700" cy="561975"/>
    <xdr:pic>
      <xdr:nvPicPr>
        <xdr:cNvPr id="0" name="image49.png"/>
        <xdr:cNvPicPr preferRelativeResize="0"/>
      </xdr:nvPicPr>
      <xdr:blipFill>
        <a:blip cstate="print" r:embed="rId59"/>
        <a:stretch>
          <a:fillRect/>
        </a:stretch>
      </xdr:blipFill>
      <xdr:spPr>
        <a:prstGeom prst="rect">
          <a:avLst/>
        </a:prstGeom>
        <a:noFill/>
      </xdr:spPr>
    </xdr:pic>
    <xdr:clientData fLocksWithSheet="0"/>
  </xdr:oneCellAnchor>
  <xdr:oneCellAnchor>
    <xdr:from>
      <xdr:col>5</xdr:col>
      <xdr:colOff>2352675</xdr:colOff>
      <xdr:row>61</xdr:row>
      <xdr:rowOff>152400</xdr:rowOff>
    </xdr:from>
    <xdr:ext cx="1362075" cy="571500"/>
    <xdr:pic>
      <xdr:nvPicPr>
        <xdr:cNvPr id="0" name="image64.png"/>
        <xdr:cNvPicPr preferRelativeResize="0"/>
      </xdr:nvPicPr>
      <xdr:blipFill>
        <a:blip cstate="print" r:embed="rId60"/>
        <a:stretch>
          <a:fillRect/>
        </a:stretch>
      </xdr:blipFill>
      <xdr:spPr>
        <a:prstGeom prst="rect">
          <a:avLst/>
        </a:prstGeom>
        <a:noFill/>
      </xdr:spPr>
    </xdr:pic>
    <xdr:clientData fLocksWithSheet="0"/>
  </xdr:oneCellAnchor>
  <xdr:oneCellAnchor>
    <xdr:from>
      <xdr:col>5</xdr:col>
      <xdr:colOff>1038225</xdr:colOff>
      <xdr:row>62</xdr:row>
      <xdr:rowOff>95250</xdr:rowOff>
    </xdr:from>
    <xdr:ext cx="1428750" cy="838200"/>
    <xdr:pic>
      <xdr:nvPicPr>
        <xdr:cNvPr id="0" name="image68.png"/>
        <xdr:cNvPicPr preferRelativeResize="0"/>
      </xdr:nvPicPr>
      <xdr:blipFill>
        <a:blip cstate="print" r:embed="rId61"/>
        <a:stretch>
          <a:fillRect/>
        </a:stretch>
      </xdr:blipFill>
      <xdr:spPr>
        <a:prstGeom prst="rect">
          <a:avLst/>
        </a:prstGeom>
        <a:noFill/>
      </xdr:spPr>
    </xdr:pic>
    <xdr:clientData fLocksWithSheet="0"/>
  </xdr:oneCellAnchor>
  <xdr:oneCellAnchor>
    <xdr:from>
      <xdr:col>5</xdr:col>
      <xdr:colOff>200025</xdr:colOff>
      <xdr:row>63</xdr:row>
      <xdr:rowOff>257175</xdr:rowOff>
    </xdr:from>
    <xdr:ext cx="3000375" cy="666750"/>
    <xdr:pic>
      <xdr:nvPicPr>
        <xdr:cNvPr id="0" name="image53.png"/>
        <xdr:cNvPicPr preferRelativeResize="0"/>
      </xdr:nvPicPr>
      <xdr:blipFill>
        <a:blip cstate="print" r:embed="rId62"/>
        <a:stretch>
          <a:fillRect/>
        </a:stretch>
      </xdr:blipFill>
      <xdr:spPr>
        <a:prstGeom prst="rect">
          <a:avLst/>
        </a:prstGeom>
        <a:noFill/>
      </xdr:spPr>
    </xdr:pic>
    <xdr:clientData fLocksWithSheet="0"/>
  </xdr:oneCellAnchor>
  <xdr:oneCellAnchor>
    <xdr:from>
      <xdr:col>5</xdr:col>
      <xdr:colOff>876300</xdr:colOff>
      <xdr:row>64</xdr:row>
      <xdr:rowOff>219075</xdr:rowOff>
    </xdr:from>
    <xdr:ext cx="2381250" cy="857250"/>
    <xdr:pic>
      <xdr:nvPicPr>
        <xdr:cNvPr id="0" name="image70.png"/>
        <xdr:cNvPicPr preferRelativeResize="0"/>
      </xdr:nvPicPr>
      <xdr:blipFill>
        <a:blip cstate="print" r:embed="rId63"/>
        <a:stretch>
          <a:fillRect/>
        </a:stretch>
      </xdr:blipFill>
      <xdr:spPr>
        <a:prstGeom prst="rect">
          <a:avLst/>
        </a:prstGeom>
        <a:noFill/>
      </xdr:spPr>
    </xdr:pic>
    <xdr:clientData fLocksWithSheet="0"/>
  </xdr:oneCellAnchor>
  <xdr:oneCellAnchor>
    <xdr:from>
      <xdr:col>5</xdr:col>
      <xdr:colOff>95250</xdr:colOff>
      <xdr:row>65</xdr:row>
      <xdr:rowOff>47625</xdr:rowOff>
    </xdr:from>
    <xdr:ext cx="3876675" cy="828675"/>
    <xdr:pic>
      <xdr:nvPicPr>
        <xdr:cNvPr id="0" name="image60.png"/>
        <xdr:cNvPicPr preferRelativeResize="0"/>
      </xdr:nvPicPr>
      <xdr:blipFill>
        <a:blip cstate="print" r:embed="rId64"/>
        <a:stretch>
          <a:fillRect/>
        </a:stretch>
      </xdr:blipFill>
      <xdr:spPr>
        <a:prstGeom prst="rect">
          <a:avLst/>
        </a:prstGeom>
        <a:noFill/>
      </xdr:spPr>
    </xdr:pic>
    <xdr:clientData fLocksWithSheet="0"/>
  </xdr:oneCellAnchor>
  <xdr:oneCellAnchor>
    <xdr:from>
      <xdr:col>5</xdr:col>
      <xdr:colOff>619125</xdr:colOff>
      <xdr:row>66</xdr:row>
      <xdr:rowOff>85725</xdr:rowOff>
    </xdr:from>
    <xdr:ext cx="2743200" cy="895350"/>
    <xdr:pic>
      <xdr:nvPicPr>
        <xdr:cNvPr id="0" name="image48.png"/>
        <xdr:cNvPicPr preferRelativeResize="0"/>
      </xdr:nvPicPr>
      <xdr:blipFill>
        <a:blip cstate="print" r:embed="rId65"/>
        <a:stretch>
          <a:fillRect/>
        </a:stretch>
      </xdr:blipFill>
      <xdr:spPr>
        <a:prstGeom prst="rect">
          <a:avLst/>
        </a:prstGeom>
        <a:noFill/>
      </xdr:spPr>
    </xdr:pic>
    <xdr:clientData fLocksWithSheet="0"/>
  </xdr:oneCellAnchor>
  <xdr:oneCellAnchor>
    <xdr:from>
      <xdr:col>5</xdr:col>
      <xdr:colOff>171450</xdr:colOff>
      <xdr:row>67</xdr:row>
      <xdr:rowOff>238125</xdr:rowOff>
    </xdr:from>
    <xdr:ext cx="3667125" cy="390525"/>
    <xdr:pic>
      <xdr:nvPicPr>
        <xdr:cNvPr id="0" name="image71.png"/>
        <xdr:cNvPicPr preferRelativeResize="0"/>
      </xdr:nvPicPr>
      <xdr:blipFill>
        <a:blip cstate="print" r:embed="rId66"/>
        <a:stretch>
          <a:fillRect/>
        </a:stretch>
      </xdr:blipFill>
      <xdr:spPr>
        <a:prstGeom prst="rect">
          <a:avLst/>
        </a:prstGeom>
        <a:noFill/>
      </xdr:spPr>
    </xdr:pic>
    <xdr:clientData fLocksWithSheet="0"/>
  </xdr:oneCellAnchor>
  <xdr:oneCellAnchor>
    <xdr:from>
      <xdr:col>5</xdr:col>
      <xdr:colOff>171450</xdr:colOff>
      <xdr:row>68</xdr:row>
      <xdr:rowOff>85725</xdr:rowOff>
    </xdr:from>
    <xdr:ext cx="3733800" cy="657225"/>
    <xdr:pic>
      <xdr:nvPicPr>
        <xdr:cNvPr id="0" name="image65.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466725</xdr:colOff>
      <xdr:row>69</xdr:row>
      <xdr:rowOff>133350</xdr:rowOff>
    </xdr:from>
    <xdr:ext cx="4314825" cy="657225"/>
    <xdr:pic>
      <xdr:nvPicPr>
        <xdr:cNvPr id="0" name="image65.png"/>
        <xdr:cNvPicPr preferRelativeResize="0"/>
      </xdr:nvPicPr>
      <xdr:blipFill>
        <a:blip cstate="print" r:embed="rId67"/>
        <a:stretch>
          <a:fillRect/>
        </a:stretch>
      </xdr:blipFill>
      <xdr:spPr>
        <a:prstGeom prst="rect">
          <a:avLst/>
        </a:prstGeom>
        <a:noFill/>
      </xdr:spPr>
    </xdr:pic>
    <xdr:clientData fLocksWithSheet="0"/>
  </xdr:oneCellAnchor>
  <xdr:oneCellAnchor>
    <xdr:from>
      <xdr:col>5</xdr:col>
      <xdr:colOff>723900</xdr:colOff>
      <xdr:row>70</xdr:row>
      <xdr:rowOff>219075</xdr:rowOff>
    </xdr:from>
    <xdr:ext cx="2505075" cy="676275"/>
    <xdr:pic>
      <xdr:nvPicPr>
        <xdr:cNvPr id="0" name="image69.png"/>
        <xdr:cNvPicPr preferRelativeResize="0"/>
      </xdr:nvPicPr>
      <xdr:blipFill>
        <a:blip cstate="print" r:embed="rId68"/>
        <a:stretch>
          <a:fillRect/>
        </a:stretch>
      </xdr:blipFill>
      <xdr:spPr>
        <a:prstGeom prst="rect">
          <a:avLst/>
        </a:prstGeom>
        <a:noFill/>
      </xdr:spPr>
    </xdr:pic>
    <xdr:clientData fLocksWithSheet="0"/>
  </xdr:oneCellAnchor>
  <xdr:oneCellAnchor>
    <xdr:from>
      <xdr:col>5</xdr:col>
      <xdr:colOff>381000</xdr:colOff>
      <xdr:row>71</xdr:row>
      <xdr:rowOff>95250</xdr:rowOff>
    </xdr:from>
    <xdr:ext cx="3543300" cy="676275"/>
    <xdr:pic>
      <xdr:nvPicPr>
        <xdr:cNvPr id="0" name="image66.png"/>
        <xdr:cNvPicPr preferRelativeResize="0"/>
      </xdr:nvPicPr>
      <xdr:blipFill>
        <a:blip cstate="print" r:embed="rId69"/>
        <a:stretch>
          <a:fillRect/>
        </a:stretch>
      </xdr:blipFill>
      <xdr:spPr>
        <a:prstGeom prst="rect">
          <a:avLst/>
        </a:prstGeom>
        <a:noFill/>
      </xdr:spPr>
    </xdr:pic>
    <xdr:clientData fLocksWithSheet="0"/>
  </xdr:oneCellAnchor>
  <xdr:oneCellAnchor>
    <xdr:from>
      <xdr:col>5</xdr:col>
      <xdr:colOff>238125</xdr:colOff>
      <xdr:row>20</xdr:row>
      <xdr:rowOff>285750</xdr:rowOff>
    </xdr:from>
    <xdr:ext cx="2819400" cy="438150"/>
    <xdr:pic>
      <xdr:nvPicPr>
        <xdr:cNvPr id="0" name="image56.png"/>
        <xdr:cNvPicPr preferRelativeResize="0"/>
      </xdr:nvPicPr>
      <xdr:blipFill>
        <a:blip cstate="print" r:embed="rId70"/>
        <a:stretch>
          <a:fillRect/>
        </a:stretch>
      </xdr:blipFill>
      <xdr:spPr>
        <a:prstGeom prst="rect">
          <a:avLst/>
        </a:prstGeom>
        <a:noFill/>
      </xdr:spPr>
    </xdr:pic>
    <xdr:clientData fLocksWithSheet="0"/>
  </xdr:oneCellAnchor>
  <xdr:oneCellAnchor>
    <xdr:from>
      <xdr:col>5</xdr:col>
      <xdr:colOff>409575</xdr:colOff>
      <xdr:row>127</xdr:row>
      <xdr:rowOff>190500</xdr:rowOff>
    </xdr:from>
    <xdr:ext cx="3762375" cy="70485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28</xdr:row>
      <xdr:rowOff>0</xdr:rowOff>
    </xdr:from>
    <xdr:ext cx="962025" cy="1009650"/>
    <xdr:pic>
      <xdr:nvPicPr>
        <xdr:cNvPr id="0" name="image58.png"/>
        <xdr:cNvPicPr preferRelativeResize="0"/>
      </xdr:nvPicPr>
      <xdr:blipFill>
        <a:blip cstate="print" r:embed="rId71"/>
        <a:stretch>
          <a:fillRect/>
        </a:stretch>
      </xdr:blipFill>
      <xdr:spPr>
        <a:prstGeom prst="rect">
          <a:avLst/>
        </a:prstGeom>
        <a:noFill/>
      </xdr:spPr>
    </xdr:pic>
    <xdr:clientData fLocksWithSheet="0"/>
  </xdr:oneCellAnchor>
  <xdr:oneCellAnchor>
    <xdr:from>
      <xdr:col>5</xdr:col>
      <xdr:colOff>0</xdr:colOff>
      <xdr:row>31</xdr:row>
      <xdr:rowOff>0</xdr:rowOff>
    </xdr:from>
    <xdr:ext cx="3400425" cy="1009650"/>
    <xdr:pic>
      <xdr:nvPicPr>
        <xdr:cNvPr id="0" name="image55.png"/>
        <xdr:cNvPicPr preferRelativeResize="0"/>
      </xdr:nvPicPr>
      <xdr:blipFill>
        <a:blip cstate="print" r:embed="rId72"/>
        <a:stretch>
          <a:fillRect/>
        </a:stretch>
      </xdr:blipFill>
      <xdr:spPr>
        <a:prstGeom prst="rect">
          <a:avLst/>
        </a:prstGeom>
        <a:noFill/>
      </xdr:spPr>
    </xdr:pic>
    <xdr:clientData fLocksWithSheet="0"/>
  </xdr:oneCellAnchor>
  <xdr:oneCellAnchor>
    <xdr:from>
      <xdr:col>5</xdr:col>
      <xdr:colOff>0</xdr:colOff>
      <xdr:row>42</xdr:row>
      <xdr:rowOff>0</xdr:rowOff>
    </xdr:from>
    <xdr:ext cx="2324100" cy="1009650"/>
    <xdr:pic>
      <xdr:nvPicPr>
        <xdr:cNvPr id="0" name="image57.png"/>
        <xdr:cNvPicPr preferRelativeResize="0"/>
      </xdr:nvPicPr>
      <xdr:blipFill>
        <a:blip cstate="print" r:embed="rId73"/>
        <a:stretch>
          <a:fillRect/>
        </a:stretch>
      </xdr:blipFill>
      <xdr:spPr>
        <a:prstGeom prst="rect">
          <a:avLst/>
        </a:prstGeom>
        <a:noFill/>
      </xdr:spPr>
    </xdr:pic>
    <xdr:clientData fLocksWithSheet="0"/>
  </xdr:oneCellAnchor>
  <xdr:oneCellAnchor>
    <xdr:from>
      <xdr:col>5</xdr:col>
      <xdr:colOff>0</xdr:colOff>
      <xdr:row>46</xdr:row>
      <xdr:rowOff>0</xdr:rowOff>
    </xdr:from>
    <xdr:ext cx="3248025" cy="1009650"/>
    <xdr:pic>
      <xdr:nvPicPr>
        <xdr:cNvPr id="0" name="image38.png"/>
        <xdr:cNvPicPr preferRelativeResize="0"/>
      </xdr:nvPicPr>
      <xdr:blipFill>
        <a:blip cstate="print" r:embed="rId49"/>
        <a:stretch>
          <a:fillRect/>
        </a:stretch>
      </xdr:blipFill>
      <xdr:spPr>
        <a:prstGeom prst="rect">
          <a:avLst/>
        </a:prstGeom>
        <a:noFill/>
      </xdr:spPr>
    </xdr:pic>
    <xdr:clientData fLocksWithSheet="0"/>
  </xdr:oneCellAnchor>
  <xdr:oneCellAnchor>
    <xdr:from>
      <xdr:col>5</xdr:col>
      <xdr:colOff>0</xdr:colOff>
      <xdr:row>113</xdr:row>
      <xdr:rowOff>0</xdr:rowOff>
    </xdr:from>
    <xdr:ext cx="4124325" cy="10096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115</xdr:row>
      <xdr:rowOff>0</xdr:rowOff>
    </xdr:from>
    <xdr:ext cx="4124325" cy="10096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116</xdr:row>
      <xdr:rowOff>0</xdr:rowOff>
    </xdr:from>
    <xdr:ext cx="4124325" cy="10096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118</xdr:row>
      <xdr:rowOff>0</xdr:rowOff>
    </xdr:from>
    <xdr:ext cx="4229100" cy="1000125"/>
    <xdr:pic>
      <xdr:nvPicPr>
        <xdr:cNvPr id="0" name="image73.png"/>
        <xdr:cNvPicPr preferRelativeResize="0"/>
      </xdr:nvPicPr>
      <xdr:blipFill>
        <a:blip cstate="print" r:embed="rId74"/>
        <a:stretch>
          <a:fillRect/>
        </a:stretch>
      </xdr:blipFill>
      <xdr:spPr>
        <a:prstGeom prst="rect">
          <a:avLst/>
        </a:prstGeom>
        <a:noFill/>
      </xdr:spPr>
    </xdr:pic>
    <xdr:clientData fLocksWithSheet="0"/>
  </xdr:oneCellAnchor>
  <xdr:oneCellAnchor>
    <xdr:from>
      <xdr:col>5</xdr:col>
      <xdr:colOff>0</xdr:colOff>
      <xdr:row>120</xdr:row>
      <xdr:rowOff>0</xdr:rowOff>
    </xdr:from>
    <xdr:ext cx="4124325" cy="10096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121</xdr:row>
      <xdr:rowOff>0</xdr:rowOff>
    </xdr:from>
    <xdr:ext cx="4124325" cy="10096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122</xdr:row>
      <xdr:rowOff>0</xdr:rowOff>
    </xdr:from>
    <xdr:ext cx="4124325" cy="10096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123</xdr:row>
      <xdr:rowOff>0</xdr:rowOff>
    </xdr:from>
    <xdr:ext cx="4124325" cy="10096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124</xdr:row>
      <xdr:rowOff>0</xdr:rowOff>
    </xdr:from>
    <xdr:ext cx="4124325" cy="10096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125</xdr:row>
      <xdr:rowOff>0</xdr:rowOff>
    </xdr:from>
    <xdr:ext cx="4124325" cy="10096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atago8010@cucadas.com" TargetMode="External"/><Relationship Id="rId2" Type="http://schemas.openxmlformats.org/officeDocument/2006/relationships/hyperlink" Target="mailto:USER@GMAIL.COM" TargetMode="External"/><Relationship Id="rId3" Type="http://schemas.openxmlformats.org/officeDocument/2006/relationships/hyperlink" Target="mailto:dogaxe4606@dubokutv.com" TargetMode="External"/><Relationship Id="rId4" Type="http://schemas.openxmlformats.org/officeDocument/2006/relationships/hyperlink" Target="mailto:filiweg732@dubokutv.com" TargetMode="External"/><Relationship Id="rId5" Type="http://schemas.openxmlformats.org/officeDocument/2006/relationships/hyperlink" Target="mailto:you@example.com" TargetMode="External"/><Relationship Id="rId6" Type="http://schemas.openxmlformats.org/officeDocument/2006/relationships/hyperlink" Target="http://testteacher123.com/"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38"/>
    <col customWidth="1" min="2" max="2" width="36.75"/>
    <col customWidth="1" min="3" max="3" width="53.0"/>
    <col customWidth="1" min="4" max="4" width="34.0"/>
    <col customWidth="1" min="5" max="5" width="65.25"/>
    <col customWidth="1" min="6" max="6" width="61.38"/>
    <col customWidth="1" min="7" max="7" width="11.38"/>
    <col customWidth="1" min="8" max="9" width="23.25"/>
    <col customWidth="1" min="10" max="10" width="22.25"/>
    <col customWidth="1" min="11" max="11" width="17.25"/>
  </cols>
  <sheetData>
    <row r="1" ht="30.0" customHeight="1">
      <c r="A1" s="1"/>
      <c r="B1" s="2"/>
      <c r="C1" s="2"/>
      <c r="D1" s="2"/>
      <c r="E1" s="2"/>
      <c r="F1" s="2"/>
      <c r="G1" s="2"/>
      <c r="H1" s="2"/>
      <c r="I1" s="2"/>
      <c r="J1" s="2"/>
      <c r="K1" s="2"/>
      <c r="L1" s="2"/>
      <c r="M1" s="2"/>
      <c r="N1" s="2"/>
    </row>
    <row r="2" ht="30.0" customHeight="1">
      <c r="A2" s="1"/>
      <c r="B2" s="3" t="s">
        <v>0</v>
      </c>
      <c r="C2" s="3"/>
      <c r="D2" s="3"/>
      <c r="E2" s="3"/>
      <c r="F2" s="3"/>
      <c r="G2" s="3"/>
      <c r="H2" s="3"/>
      <c r="I2" s="2"/>
      <c r="J2" s="2"/>
      <c r="K2" s="2"/>
    </row>
    <row r="3" ht="15.75" customHeight="1">
      <c r="A3" s="1"/>
      <c r="B3" s="4"/>
      <c r="C3" s="4"/>
      <c r="D3" s="5"/>
      <c r="E3" s="5"/>
      <c r="F3" s="5"/>
      <c r="G3" s="6"/>
      <c r="H3" s="7"/>
      <c r="I3" s="7"/>
      <c r="J3" s="7"/>
      <c r="K3" s="7"/>
    </row>
    <row r="4" ht="15.75" customHeight="1">
      <c r="A4" s="8"/>
      <c r="B4" s="9" t="s">
        <v>1</v>
      </c>
      <c r="C4" s="10" t="s">
        <v>2</v>
      </c>
      <c r="D4" s="11"/>
      <c r="E4" s="12" t="s">
        <v>3</v>
      </c>
      <c r="F4" s="13" t="s">
        <v>4</v>
      </c>
    </row>
    <row r="5" ht="15.75" customHeight="1">
      <c r="A5" s="8"/>
      <c r="B5" s="9" t="s">
        <v>5</v>
      </c>
      <c r="C5" s="10" t="s">
        <v>6</v>
      </c>
      <c r="D5" s="11"/>
      <c r="E5" s="12" t="s">
        <v>7</v>
      </c>
      <c r="F5" s="14" t="s">
        <v>8</v>
      </c>
      <c r="G5" s="7"/>
      <c r="H5" s="15" t="s">
        <v>9</v>
      </c>
      <c r="I5" s="16">
        <v>125.0</v>
      </c>
    </row>
    <row r="6" ht="15.75" customHeight="1">
      <c r="A6" s="8"/>
      <c r="B6" s="9" t="s">
        <v>10</v>
      </c>
      <c r="C6" s="17" t="s">
        <v>11</v>
      </c>
      <c r="D6" s="11"/>
      <c r="E6" s="12" t="s">
        <v>12</v>
      </c>
      <c r="F6" s="14" t="s">
        <v>13</v>
      </c>
      <c r="H6" s="15" t="s">
        <v>14</v>
      </c>
      <c r="I6" s="16">
        <v>64.0</v>
      </c>
    </row>
    <row r="7" ht="15.75" customHeight="1">
      <c r="A7" s="8"/>
      <c r="B7" s="9" t="s">
        <v>15</v>
      </c>
      <c r="C7" s="17" t="s">
        <v>16</v>
      </c>
      <c r="D7" s="11"/>
      <c r="E7" s="12" t="s">
        <v>17</v>
      </c>
      <c r="F7" s="18">
        <v>46035.0</v>
      </c>
      <c r="G7" s="7"/>
      <c r="H7" s="15" t="s">
        <v>18</v>
      </c>
      <c r="I7" s="16">
        <v>61.0</v>
      </c>
    </row>
    <row r="8" ht="15.75" customHeight="1">
      <c r="A8" s="1"/>
      <c r="B8" s="19"/>
      <c r="C8" s="19"/>
      <c r="D8" s="20"/>
      <c r="E8" s="20"/>
      <c r="F8" s="20"/>
      <c r="G8" s="20"/>
      <c r="H8" s="20"/>
      <c r="I8" s="20"/>
      <c r="J8" s="20"/>
      <c r="K8" s="20"/>
      <c r="L8" s="7"/>
    </row>
    <row r="9" ht="15.75" customHeight="1">
      <c r="A9" s="1"/>
      <c r="B9" s="21"/>
      <c r="C9" s="21"/>
      <c r="D9" s="21"/>
      <c r="E9" s="21"/>
      <c r="F9" s="21"/>
      <c r="G9" s="21"/>
      <c r="H9" s="21"/>
      <c r="I9" s="21"/>
      <c r="J9" s="21"/>
      <c r="K9" s="21"/>
      <c r="L9" s="7"/>
    </row>
    <row r="10" ht="27.75" customHeight="1">
      <c r="A10" s="22" t="s">
        <v>19</v>
      </c>
      <c r="B10" s="23" t="s">
        <v>20</v>
      </c>
      <c r="C10" s="23" t="s">
        <v>21</v>
      </c>
      <c r="D10" s="23" t="s">
        <v>22</v>
      </c>
      <c r="E10" s="23" t="s">
        <v>23</v>
      </c>
      <c r="F10" s="23" t="s">
        <v>24</v>
      </c>
      <c r="G10" s="23" t="s">
        <v>25</v>
      </c>
      <c r="H10" s="23" t="s">
        <v>26</v>
      </c>
      <c r="I10" s="23" t="s">
        <v>27</v>
      </c>
      <c r="J10" s="23" t="s">
        <v>28</v>
      </c>
      <c r="K10" s="23" t="s">
        <v>29</v>
      </c>
      <c r="L10" s="24"/>
    </row>
    <row r="11" ht="79.5" customHeight="1">
      <c r="A11" s="25">
        <v>1.0</v>
      </c>
      <c r="B11" s="26" t="s">
        <v>30</v>
      </c>
      <c r="C11" s="27" t="s">
        <v>31</v>
      </c>
      <c r="D11" s="27" t="s">
        <v>32</v>
      </c>
      <c r="E11" s="28" t="s">
        <v>33</v>
      </c>
      <c r="F11" s="29"/>
      <c r="G11" s="30" t="s">
        <v>34</v>
      </c>
      <c r="H11" s="28" t="s">
        <v>35</v>
      </c>
      <c r="I11" s="28"/>
      <c r="J11" s="28"/>
      <c r="K11" s="27" t="s">
        <v>36</v>
      </c>
      <c r="L11" s="5"/>
      <c r="M11" s="31"/>
      <c r="N11" s="31"/>
      <c r="O11" s="31"/>
      <c r="P11" s="31"/>
      <c r="Q11" s="31"/>
      <c r="R11" s="31"/>
      <c r="S11" s="31"/>
      <c r="T11" s="31"/>
      <c r="U11" s="31"/>
      <c r="V11" s="31"/>
      <c r="W11" s="31"/>
      <c r="X11" s="31"/>
      <c r="Y11" s="31"/>
      <c r="Z11" s="31"/>
    </row>
    <row r="12" ht="79.5" customHeight="1">
      <c r="A12" s="25">
        <v>2.0</v>
      </c>
      <c r="B12" s="26" t="str">
        <f t="shared" ref="B12:B72" si="1">"LOET-RPP-VOP-CPP-" &amp; TEXT(1 + ROW(A1),"0000")</f>
        <v>LOET-RPP-VOP-CPP-0002</v>
      </c>
      <c r="C12" s="28" t="s">
        <v>37</v>
      </c>
      <c r="D12" s="28"/>
      <c r="E12" s="28" t="s">
        <v>38</v>
      </c>
      <c r="F12" s="29"/>
      <c r="G12" s="30" t="s">
        <v>34</v>
      </c>
      <c r="H12" s="28" t="s">
        <v>35</v>
      </c>
      <c r="I12" s="28"/>
      <c r="J12" s="28"/>
      <c r="K12" s="28" t="s">
        <v>39</v>
      </c>
      <c r="L12" s="5"/>
      <c r="M12" s="31"/>
      <c r="N12" s="31"/>
      <c r="O12" s="31"/>
      <c r="P12" s="31"/>
      <c r="Q12" s="31"/>
      <c r="R12" s="31"/>
      <c r="S12" s="31"/>
      <c r="T12" s="31"/>
      <c r="U12" s="31"/>
      <c r="V12" s="31"/>
      <c r="W12" s="31"/>
      <c r="X12" s="31"/>
      <c r="Y12" s="31"/>
      <c r="Z12" s="31"/>
    </row>
    <row r="13" ht="79.5" customHeight="1">
      <c r="A13" s="25">
        <v>3.0</v>
      </c>
      <c r="B13" s="26" t="str">
        <f t="shared" si="1"/>
        <v>LOET-RPP-VOP-CPP-0003</v>
      </c>
      <c r="C13" s="28" t="s">
        <v>40</v>
      </c>
      <c r="D13" s="28" t="s">
        <v>41</v>
      </c>
      <c r="E13" s="28" t="s">
        <v>42</v>
      </c>
      <c r="F13" s="29"/>
      <c r="G13" s="30" t="s">
        <v>34</v>
      </c>
      <c r="H13" s="28" t="s">
        <v>35</v>
      </c>
      <c r="I13" s="28"/>
      <c r="J13" s="28"/>
      <c r="K13" s="28" t="s">
        <v>43</v>
      </c>
      <c r="L13" s="32" t="s">
        <v>44</v>
      </c>
      <c r="M13" s="31"/>
      <c r="N13" s="31"/>
      <c r="O13" s="31"/>
      <c r="P13" s="31"/>
      <c r="Q13" s="31"/>
      <c r="R13" s="31"/>
      <c r="S13" s="31"/>
      <c r="T13" s="31"/>
      <c r="U13" s="31"/>
      <c r="V13" s="31"/>
      <c r="W13" s="31"/>
      <c r="X13" s="31"/>
      <c r="Y13" s="31"/>
      <c r="Z13" s="31"/>
    </row>
    <row r="14" ht="79.5" customHeight="1">
      <c r="A14" s="25">
        <v>4.0</v>
      </c>
      <c r="B14" s="26" t="str">
        <f t="shared" si="1"/>
        <v>LOET-RPP-VOP-CPP-0004</v>
      </c>
      <c r="C14" s="27" t="s">
        <v>45</v>
      </c>
      <c r="D14" s="28" t="s">
        <v>46</v>
      </c>
      <c r="E14" s="28" t="s">
        <v>47</v>
      </c>
      <c r="F14" s="29"/>
      <c r="G14" s="30" t="s">
        <v>34</v>
      </c>
      <c r="H14" s="28" t="s">
        <v>35</v>
      </c>
      <c r="I14" s="28"/>
      <c r="J14" s="28"/>
      <c r="K14" s="28" t="s">
        <v>39</v>
      </c>
      <c r="L14" s="5"/>
      <c r="M14" s="31"/>
      <c r="N14" s="31"/>
      <c r="O14" s="31"/>
      <c r="P14" s="31"/>
      <c r="Q14" s="31"/>
      <c r="R14" s="31"/>
      <c r="S14" s="31"/>
      <c r="T14" s="31"/>
      <c r="U14" s="31"/>
      <c r="V14" s="31"/>
    </row>
    <row r="15" ht="79.5" customHeight="1">
      <c r="A15" s="25">
        <v>5.0</v>
      </c>
      <c r="B15" s="26" t="str">
        <f t="shared" si="1"/>
        <v>LOET-RPP-VOP-CPP-0005</v>
      </c>
      <c r="C15" s="27" t="s">
        <v>48</v>
      </c>
      <c r="D15" s="28" t="s">
        <v>49</v>
      </c>
      <c r="E15" s="28" t="s">
        <v>47</v>
      </c>
      <c r="F15" s="29"/>
      <c r="G15" s="30" t="s">
        <v>34</v>
      </c>
      <c r="H15" s="28" t="s">
        <v>35</v>
      </c>
      <c r="I15" s="28"/>
      <c r="J15" s="28"/>
      <c r="K15" s="28" t="s">
        <v>50</v>
      </c>
      <c r="L15" s="5"/>
      <c r="M15" s="31"/>
      <c r="N15" s="31"/>
      <c r="O15" s="31"/>
      <c r="P15" s="31"/>
      <c r="Q15" s="31"/>
      <c r="R15" s="31"/>
      <c r="S15" s="31"/>
      <c r="T15" s="31"/>
      <c r="U15" s="31"/>
      <c r="V15" s="31"/>
    </row>
    <row r="16" ht="79.5" customHeight="1">
      <c r="A16" s="25">
        <v>6.0</v>
      </c>
      <c r="B16" s="26" t="str">
        <f t="shared" si="1"/>
        <v>LOET-RPP-VOP-CPP-0006</v>
      </c>
      <c r="C16" s="27" t="s">
        <v>51</v>
      </c>
      <c r="D16" s="28" t="s">
        <v>52</v>
      </c>
      <c r="E16" s="28" t="s">
        <v>53</v>
      </c>
      <c r="F16" s="29"/>
      <c r="G16" s="30" t="s">
        <v>34</v>
      </c>
      <c r="H16" s="28" t="s">
        <v>35</v>
      </c>
      <c r="I16" s="28"/>
      <c r="J16" s="28"/>
      <c r="K16" s="28" t="s">
        <v>54</v>
      </c>
      <c r="L16" s="5"/>
      <c r="M16" s="31"/>
      <c r="N16" s="31"/>
      <c r="O16" s="31"/>
      <c r="P16" s="31"/>
      <c r="Q16" s="31"/>
      <c r="R16" s="31"/>
      <c r="S16" s="31"/>
      <c r="T16" s="31"/>
      <c r="U16" s="31"/>
      <c r="V16" s="31"/>
    </row>
    <row r="17" ht="79.5" customHeight="1">
      <c r="A17" s="25">
        <v>7.0</v>
      </c>
      <c r="B17" s="26" t="str">
        <f t="shared" si="1"/>
        <v>LOET-RPP-VOP-CPP-0007</v>
      </c>
      <c r="C17" s="28" t="s">
        <v>55</v>
      </c>
      <c r="D17" s="33" t="s">
        <v>56</v>
      </c>
      <c r="E17" s="28" t="s">
        <v>57</v>
      </c>
      <c r="F17" s="29"/>
      <c r="G17" s="30" t="s">
        <v>34</v>
      </c>
      <c r="H17" s="28" t="s">
        <v>35</v>
      </c>
      <c r="I17" s="28"/>
      <c r="J17" s="28"/>
      <c r="K17" s="28" t="s">
        <v>58</v>
      </c>
      <c r="L17" s="5"/>
      <c r="M17" s="31"/>
      <c r="N17" s="31"/>
      <c r="O17" s="31"/>
      <c r="P17" s="31"/>
      <c r="Q17" s="31"/>
      <c r="R17" s="31"/>
      <c r="S17" s="31"/>
      <c r="T17" s="31"/>
      <c r="U17" s="31"/>
      <c r="V17" s="31"/>
    </row>
    <row r="18" ht="79.5" customHeight="1">
      <c r="A18" s="25">
        <v>8.0</v>
      </c>
      <c r="B18" s="26" t="str">
        <f t="shared" si="1"/>
        <v>LOET-RPP-VOP-CPP-0008</v>
      </c>
      <c r="C18" s="27" t="s">
        <v>59</v>
      </c>
      <c r="D18" s="28" t="s">
        <v>60</v>
      </c>
      <c r="E18" s="28" t="s">
        <v>61</v>
      </c>
      <c r="F18" s="29"/>
      <c r="G18" s="30" t="s">
        <v>34</v>
      </c>
      <c r="H18" s="28" t="s">
        <v>62</v>
      </c>
      <c r="I18" s="28"/>
      <c r="J18" s="28"/>
      <c r="K18" s="28" t="s">
        <v>63</v>
      </c>
      <c r="L18" s="5"/>
      <c r="M18" s="31"/>
      <c r="N18" s="31"/>
      <c r="O18" s="31"/>
      <c r="P18" s="31"/>
      <c r="Q18" s="31"/>
      <c r="R18" s="31"/>
      <c r="S18" s="31"/>
      <c r="T18" s="31"/>
      <c r="U18" s="31"/>
      <c r="V18" s="31"/>
    </row>
    <row r="19" ht="79.5" customHeight="1">
      <c r="A19" s="25">
        <v>9.0</v>
      </c>
      <c r="B19" s="26" t="str">
        <f t="shared" si="1"/>
        <v>LOET-RPP-VOP-CPP-0009</v>
      </c>
      <c r="C19" s="27" t="s">
        <v>64</v>
      </c>
      <c r="D19" s="33" t="s">
        <v>65</v>
      </c>
      <c r="E19" s="28" t="s">
        <v>66</v>
      </c>
      <c r="F19" s="29"/>
      <c r="G19" s="30" t="s">
        <v>34</v>
      </c>
      <c r="H19" s="28" t="s">
        <v>35</v>
      </c>
      <c r="I19" s="28"/>
      <c r="J19" s="28"/>
      <c r="K19" s="28" t="s">
        <v>67</v>
      </c>
      <c r="L19" s="5"/>
      <c r="M19" s="31"/>
      <c r="N19" s="31"/>
      <c r="O19" s="31"/>
      <c r="P19" s="31"/>
      <c r="Q19" s="31"/>
      <c r="R19" s="31"/>
      <c r="S19" s="31"/>
      <c r="T19" s="31"/>
      <c r="U19" s="31"/>
      <c r="V19" s="31"/>
    </row>
    <row r="20" ht="79.5" customHeight="1">
      <c r="A20" s="25">
        <v>10.0</v>
      </c>
      <c r="B20" s="26" t="str">
        <f t="shared" si="1"/>
        <v>LOET-RPP-VOP-CPP-0010</v>
      </c>
      <c r="C20" s="27" t="s">
        <v>68</v>
      </c>
      <c r="D20" s="28" t="s">
        <v>69</v>
      </c>
      <c r="E20" s="28" t="s">
        <v>70</v>
      </c>
      <c r="F20" s="29"/>
      <c r="G20" s="30" t="s">
        <v>34</v>
      </c>
      <c r="H20" s="28" t="s">
        <v>35</v>
      </c>
      <c r="I20" s="28"/>
      <c r="J20" s="28"/>
      <c r="K20" s="28" t="s">
        <v>71</v>
      </c>
      <c r="L20" s="5"/>
      <c r="M20" s="31"/>
      <c r="N20" s="31"/>
      <c r="O20" s="31"/>
      <c r="P20" s="31"/>
      <c r="Q20" s="31"/>
      <c r="R20" s="31"/>
      <c r="S20" s="31"/>
      <c r="T20" s="31"/>
      <c r="U20" s="31"/>
      <c r="V20" s="31"/>
    </row>
    <row r="21" ht="79.5" customHeight="1">
      <c r="A21" s="25">
        <v>11.0</v>
      </c>
      <c r="B21" s="26" t="str">
        <f t="shared" si="1"/>
        <v>LOET-RPP-VOP-CPP-0011</v>
      </c>
      <c r="C21" s="27" t="s">
        <v>72</v>
      </c>
      <c r="D21" s="28" t="s">
        <v>73</v>
      </c>
      <c r="E21" s="27" t="s">
        <v>57</v>
      </c>
      <c r="F21" s="29"/>
      <c r="G21" s="30" t="s">
        <v>34</v>
      </c>
      <c r="H21" s="28" t="s">
        <v>35</v>
      </c>
      <c r="I21" s="28"/>
      <c r="J21" s="28"/>
      <c r="K21" s="28" t="s">
        <v>74</v>
      </c>
      <c r="L21" s="5"/>
      <c r="M21" s="31"/>
      <c r="N21" s="31"/>
      <c r="O21" s="31"/>
      <c r="P21" s="31"/>
      <c r="Q21" s="31"/>
      <c r="R21" s="31"/>
      <c r="S21" s="31"/>
      <c r="T21" s="31"/>
      <c r="U21" s="31"/>
      <c r="V21" s="31"/>
    </row>
    <row r="22" ht="79.5" customHeight="1">
      <c r="A22" s="25">
        <v>12.0</v>
      </c>
      <c r="B22" s="26" t="str">
        <f t="shared" si="1"/>
        <v>LOET-RPP-VOP-CPP-0012</v>
      </c>
      <c r="C22" s="27" t="s">
        <v>75</v>
      </c>
      <c r="D22" s="28" t="s">
        <v>76</v>
      </c>
      <c r="E22" s="34" t="s">
        <v>57</v>
      </c>
      <c r="F22" s="29"/>
      <c r="G22" s="30" t="s">
        <v>34</v>
      </c>
      <c r="H22" s="28" t="s">
        <v>77</v>
      </c>
      <c r="I22" s="28"/>
      <c r="J22" s="28"/>
      <c r="K22" s="28" t="s">
        <v>78</v>
      </c>
      <c r="L22" s="5"/>
      <c r="M22" s="31"/>
      <c r="N22" s="31"/>
      <c r="O22" s="31"/>
      <c r="P22" s="31"/>
      <c r="Q22" s="31"/>
      <c r="R22" s="31"/>
      <c r="S22" s="31"/>
      <c r="T22" s="31"/>
      <c r="U22" s="31"/>
      <c r="V22" s="31"/>
    </row>
    <row r="23" ht="79.5" customHeight="1">
      <c r="A23" s="25">
        <v>13.0</v>
      </c>
      <c r="B23" s="26" t="str">
        <f t="shared" si="1"/>
        <v>LOET-RPP-VOP-CPP-0013</v>
      </c>
      <c r="C23" s="27" t="s">
        <v>79</v>
      </c>
      <c r="D23" s="28" t="s">
        <v>80</v>
      </c>
      <c r="E23" s="28" t="s">
        <v>81</v>
      </c>
      <c r="F23" s="29"/>
      <c r="G23" s="30" t="s">
        <v>34</v>
      </c>
      <c r="H23" s="28" t="s">
        <v>82</v>
      </c>
      <c r="I23" s="28"/>
      <c r="J23" s="28"/>
      <c r="K23" s="28" t="s">
        <v>83</v>
      </c>
      <c r="L23" s="5"/>
      <c r="M23" s="31"/>
      <c r="N23" s="31"/>
      <c r="O23" s="31"/>
      <c r="P23" s="31"/>
      <c r="Q23" s="31"/>
      <c r="R23" s="31"/>
      <c r="S23" s="31"/>
      <c r="T23" s="31"/>
      <c r="U23" s="31"/>
      <c r="V23" s="31"/>
    </row>
    <row r="24" ht="79.5" customHeight="1">
      <c r="A24" s="25">
        <v>14.0</v>
      </c>
      <c r="B24" s="26" t="str">
        <f t="shared" si="1"/>
        <v>LOET-RPP-VOP-CPP-0014</v>
      </c>
      <c r="C24" s="27" t="s">
        <v>84</v>
      </c>
      <c r="D24" s="28" t="s">
        <v>85</v>
      </c>
      <c r="E24" s="28" t="s">
        <v>86</v>
      </c>
      <c r="F24" s="29"/>
      <c r="G24" s="30" t="s">
        <v>34</v>
      </c>
      <c r="H24" s="28" t="s">
        <v>62</v>
      </c>
      <c r="I24" s="28"/>
      <c r="J24" s="28"/>
      <c r="K24" s="28" t="s">
        <v>87</v>
      </c>
      <c r="L24" s="5"/>
      <c r="M24" s="31"/>
      <c r="N24" s="31"/>
      <c r="O24" s="31"/>
      <c r="P24" s="31"/>
      <c r="Q24" s="31"/>
      <c r="R24" s="31"/>
      <c r="S24" s="31"/>
      <c r="T24" s="31"/>
      <c r="U24" s="31"/>
      <c r="V24" s="31"/>
    </row>
    <row r="25" ht="79.5" customHeight="1">
      <c r="A25" s="25">
        <v>15.0</v>
      </c>
      <c r="B25" s="26" t="str">
        <f t="shared" si="1"/>
        <v>LOET-RPP-VOP-CPP-0015</v>
      </c>
      <c r="C25" s="27" t="s">
        <v>88</v>
      </c>
      <c r="D25" s="27" t="s">
        <v>89</v>
      </c>
      <c r="E25" s="28" t="s">
        <v>86</v>
      </c>
      <c r="F25" s="29"/>
      <c r="G25" s="30" t="s">
        <v>34</v>
      </c>
      <c r="H25" s="28" t="s">
        <v>62</v>
      </c>
      <c r="I25" s="28"/>
      <c r="J25" s="28"/>
      <c r="K25" s="28" t="s">
        <v>90</v>
      </c>
      <c r="L25" s="5"/>
      <c r="M25" s="31"/>
      <c r="N25" s="31"/>
      <c r="O25" s="31"/>
      <c r="P25" s="31"/>
      <c r="Q25" s="31"/>
      <c r="R25" s="31"/>
      <c r="S25" s="31"/>
      <c r="T25" s="31"/>
      <c r="U25" s="31"/>
      <c r="V25" s="31"/>
    </row>
    <row r="26" ht="79.5" customHeight="1">
      <c r="A26" s="25">
        <v>16.0</v>
      </c>
      <c r="B26" s="26" t="str">
        <f t="shared" si="1"/>
        <v>LOET-RPP-VOP-CPP-0016</v>
      </c>
      <c r="C26" s="27" t="s">
        <v>91</v>
      </c>
      <c r="D26" s="28" t="s">
        <v>56</v>
      </c>
      <c r="E26" s="28" t="s">
        <v>92</v>
      </c>
      <c r="F26" s="29"/>
      <c r="G26" s="30" t="s">
        <v>34</v>
      </c>
      <c r="H26" s="28" t="s">
        <v>93</v>
      </c>
      <c r="I26" s="28"/>
      <c r="J26" s="28"/>
      <c r="K26" s="28" t="s">
        <v>94</v>
      </c>
      <c r="L26" s="5"/>
      <c r="M26" s="31"/>
      <c r="N26" s="31"/>
      <c r="O26" s="31"/>
      <c r="P26" s="31"/>
      <c r="Q26" s="31"/>
      <c r="R26" s="31"/>
      <c r="S26" s="31"/>
      <c r="T26" s="31"/>
      <c r="U26" s="31"/>
      <c r="V26" s="31"/>
    </row>
    <row r="27" ht="79.5" customHeight="1">
      <c r="A27" s="25">
        <v>17.0</v>
      </c>
      <c r="B27" s="26" t="str">
        <f t="shared" si="1"/>
        <v>LOET-RPP-VOP-CPP-0017</v>
      </c>
      <c r="C27" s="27" t="s">
        <v>95</v>
      </c>
      <c r="D27" s="35" t="s">
        <v>96</v>
      </c>
      <c r="E27" s="27" t="s">
        <v>97</v>
      </c>
      <c r="F27" s="29"/>
      <c r="G27" s="30" t="s">
        <v>98</v>
      </c>
      <c r="H27" s="28" t="s">
        <v>93</v>
      </c>
      <c r="I27" s="28"/>
      <c r="J27" s="28"/>
      <c r="K27" s="28" t="s">
        <v>99</v>
      </c>
      <c r="L27" s="5"/>
      <c r="M27" s="31"/>
      <c r="N27" s="31"/>
      <c r="O27" s="31"/>
      <c r="P27" s="31"/>
      <c r="Q27" s="31"/>
      <c r="R27" s="31"/>
      <c r="S27" s="31"/>
      <c r="T27" s="31"/>
      <c r="U27" s="31"/>
      <c r="V27" s="31"/>
    </row>
    <row r="28" ht="79.5" customHeight="1">
      <c r="A28" s="25">
        <v>18.0</v>
      </c>
      <c r="B28" s="26" t="str">
        <f t="shared" si="1"/>
        <v>LOET-RPP-VOP-CPP-0018</v>
      </c>
      <c r="C28" s="27" t="s">
        <v>100</v>
      </c>
      <c r="D28" s="28" t="s">
        <v>96</v>
      </c>
      <c r="E28" s="28" t="s">
        <v>97</v>
      </c>
      <c r="F28" s="29"/>
      <c r="G28" s="30" t="s">
        <v>101</v>
      </c>
      <c r="H28" s="28" t="s">
        <v>35</v>
      </c>
      <c r="I28" s="28"/>
      <c r="J28" s="28"/>
      <c r="K28" s="28" t="s">
        <v>102</v>
      </c>
      <c r="L28" s="5"/>
      <c r="M28" s="31"/>
      <c r="N28" s="31"/>
      <c r="O28" s="31"/>
      <c r="P28" s="31"/>
      <c r="Q28" s="31"/>
      <c r="R28" s="31"/>
      <c r="S28" s="31"/>
      <c r="T28" s="31"/>
      <c r="U28" s="31"/>
      <c r="V28" s="31"/>
    </row>
    <row r="29" ht="79.5" customHeight="1">
      <c r="A29" s="25">
        <v>19.0</v>
      </c>
      <c r="B29" s="26" t="str">
        <f t="shared" si="1"/>
        <v>LOET-RPP-VOP-CPP-0019</v>
      </c>
      <c r="C29" s="27" t="s">
        <v>103</v>
      </c>
      <c r="D29" s="28" t="s">
        <v>104</v>
      </c>
      <c r="E29" s="28" t="s">
        <v>105</v>
      </c>
      <c r="F29" s="29"/>
      <c r="G29" s="30" t="s">
        <v>34</v>
      </c>
      <c r="H29" s="28" t="s">
        <v>93</v>
      </c>
      <c r="I29" s="28"/>
      <c r="J29" s="28"/>
      <c r="K29" s="28" t="s">
        <v>99</v>
      </c>
      <c r="L29" s="5"/>
      <c r="M29" s="31"/>
      <c r="N29" s="31"/>
      <c r="O29" s="31"/>
      <c r="P29" s="31"/>
      <c r="Q29" s="31"/>
      <c r="R29" s="31"/>
      <c r="S29" s="31"/>
      <c r="T29" s="31"/>
      <c r="U29" s="31"/>
      <c r="V29" s="31"/>
    </row>
    <row r="30" ht="79.5" customHeight="1">
      <c r="A30" s="25">
        <v>20.0</v>
      </c>
      <c r="B30" s="26" t="str">
        <f t="shared" si="1"/>
        <v>LOET-RPP-VOP-CPP-0020</v>
      </c>
      <c r="C30" s="27" t="s">
        <v>106</v>
      </c>
      <c r="D30" s="27" t="s">
        <v>56</v>
      </c>
      <c r="E30" s="27" t="s">
        <v>107</v>
      </c>
      <c r="F30" s="29"/>
      <c r="G30" s="30" t="s">
        <v>34</v>
      </c>
      <c r="H30" s="28" t="s">
        <v>93</v>
      </c>
      <c r="I30" s="28"/>
      <c r="J30" s="28"/>
      <c r="K30" s="28" t="s">
        <v>108</v>
      </c>
      <c r="L30" s="5"/>
      <c r="M30" s="31"/>
      <c r="N30" s="31"/>
      <c r="O30" s="31"/>
      <c r="P30" s="31"/>
      <c r="Q30" s="31"/>
      <c r="R30" s="31"/>
      <c r="S30" s="31"/>
      <c r="T30" s="31"/>
      <c r="U30" s="31"/>
      <c r="V30" s="31"/>
    </row>
    <row r="31" ht="79.5" customHeight="1">
      <c r="A31" s="25">
        <v>21.0</v>
      </c>
      <c r="B31" s="26" t="str">
        <f t="shared" si="1"/>
        <v>LOET-RPP-VOP-CPP-0021</v>
      </c>
      <c r="C31" s="28" t="s">
        <v>109</v>
      </c>
      <c r="D31" s="27" t="s">
        <v>110</v>
      </c>
      <c r="E31" s="27" t="s">
        <v>111</v>
      </c>
      <c r="F31" s="29"/>
      <c r="G31" s="30" t="s">
        <v>34</v>
      </c>
      <c r="H31" s="28" t="s">
        <v>62</v>
      </c>
      <c r="I31" s="28"/>
      <c r="J31" s="28"/>
      <c r="K31" s="28" t="s">
        <v>112</v>
      </c>
      <c r="L31" s="5"/>
      <c r="M31" s="31"/>
      <c r="N31" s="31"/>
      <c r="O31" s="31"/>
      <c r="P31" s="31"/>
      <c r="Q31" s="31"/>
      <c r="R31" s="31"/>
      <c r="S31" s="31"/>
      <c r="T31" s="31"/>
      <c r="U31" s="31"/>
      <c r="V31" s="31"/>
    </row>
    <row r="32" ht="79.5" customHeight="1">
      <c r="A32" s="25">
        <v>22.0</v>
      </c>
      <c r="B32" s="26" t="str">
        <f t="shared" si="1"/>
        <v>LOET-RPP-VOP-CPP-0022</v>
      </c>
      <c r="C32" s="28" t="s">
        <v>113</v>
      </c>
      <c r="D32" s="28" t="s">
        <v>114</v>
      </c>
      <c r="E32" s="28" t="s">
        <v>115</v>
      </c>
      <c r="F32" s="29"/>
      <c r="G32" s="30" t="s">
        <v>34</v>
      </c>
      <c r="H32" s="28" t="s">
        <v>93</v>
      </c>
      <c r="I32" s="28"/>
      <c r="J32" s="28"/>
      <c r="K32" s="28" t="s">
        <v>116</v>
      </c>
      <c r="L32" s="5"/>
      <c r="M32" s="31"/>
      <c r="N32" s="31"/>
      <c r="O32" s="31"/>
      <c r="P32" s="31"/>
      <c r="Q32" s="31"/>
      <c r="R32" s="31"/>
      <c r="S32" s="31"/>
      <c r="T32" s="31"/>
      <c r="U32" s="31"/>
      <c r="V32" s="31"/>
    </row>
    <row r="33" ht="79.5" customHeight="1">
      <c r="A33" s="25">
        <v>23.0</v>
      </c>
      <c r="B33" s="26" t="str">
        <f t="shared" si="1"/>
        <v>LOET-RPP-VOP-CPP-0023</v>
      </c>
      <c r="C33" s="28" t="s">
        <v>117</v>
      </c>
      <c r="D33" s="28" t="s">
        <v>118</v>
      </c>
      <c r="E33" s="28" t="s">
        <v>119</v>
      </c>
      <c r="F33" s="29"/>
      <c r="G33" s="30" t="s">
        <v>34</v>
      </c>
      <c r="H33" s="28" t="s">
        <v>62</v>
      </c>
      <c r="I33" s="28"/>
      <c r="J33" s="28"/>
      <c r="K33" s="28" t="s">
        <v>120</v>
      </c>
      <c r="L33" s="5"/>
      <c r="M33" s="31"/>
      <c r="N33" s="31"/>
      <c r="O33" s="31"/>
      <c r="P33" s="31"/>
      <c r="Q33" s="31"/>
      <c r="R33" s="31"/>
      <c r="S33" s="31"/>
      <c r="T33" s="31"/>
      <c r="U33" s="31"/>
      <c r="V33" s="31"/>
    </row>
    <row r="34" ht="79.5" customHeight="1">
      <c r="A34" s="25">
        <v>24.0</v>
      </c>
      <c r="B34" s="26" t="str">
        <f t="shared" si="1"/>
        <v>LOET-RPP-VOP-CPP-0024</v>
      </c>
      <c r="C34" s="28" t="s">
        <v>121</v>
      </c>
      <c r="D34" s="28" t="s">
        <v>122</v>
      </c>
      <c r="E34" s="28" t="s">
        <v>123</v>
      </c>
      <c r="F34" s="29"/>
      <c r="G34" s="30" t="s">
        <v>34</v>
      </c>
      <c r="H34" s="28" t="s">
        <v>62</v>
      </c>
      <c r="I34" s="28"/>
      <c r="J34" s="28"/>
      <c r="K34" s="28" t="s">
        <v>124</v>
      </c>
      <c r="L34" s="5"/>
      <c r="M34" s="31"/>
      <c r="N34" s="31"/>
      <c r="O34" s="31"/>
      <c r="P34" s="31"/>
      <c r="Q34" s="31"/>
      <c r="R34" s="31"/>
      <c r="S34" s="31"/>
      <c r="T34" s="31"/>
      <c r="U34" s="31"/>
      <c r="V34" s="31"/>
    </row>
    <row r="35" ht="79.5" customHeight="1">
      <c r="A35" s="25">
        <v>25.0</v>
      </c>
      <c r="B35" s="26" t="str">
        <f t="shared" si="1"/>
        <v>LOET-RPP-VOP-CPP-0025</v>
      </c>
      <c r="C35" s="36" t="s">
        <v>125</v>
      </c>
      <c r="D35" s="28" t="s">
        <v>126</v>
      </c>
      <c r="E35" s="28" t="s">
        <v>127</v>
      </c>
      <c r="F35" s="29"/>
      <c r="G35" s="30" t="s">
        <v>34</v>
      </c>
      <c r="H35" s="28" t="s">
        <v>62</v>
      </c>
      <c r="I35" s="28"/>
      <c r="J35" s="28"/>
      <c r="K35" s="28" t="s">
        <v>128</v>
      </c>
      <c r="L35" s="5"/>
      <c r="M35" s="31"/>
      <c r="N35" s="31"/>
      <c r="O35" s="31"/>
      <c r="P35" s="31"/>
      <c r="Q35" s="31"/>
      <c r="R35" s="31"/>
      <c r="S35" s="31"/>
      <c r="T35" s="31"/>
      <c r="U35" s="31"/>
      <c r="V35" s="31"/>
    </row>
    <row r="36" ht="79.5" customHeight="1">
      <c r="A36" s="25">
        <v>26.0</v>
      </c>
      <c r="B36" s="26" t="str">
        <f t="shared" si="1"/>
        <v>LOET-RPP-VOP-CPP-0026</v>
      </c>
      <c r="C36" s="27" t="s">
        <v>129</v>
      </c>
      <c r="D36" s="28" t="s">
        <v>130</v>
      </c>
      <c r="E36" s="27" t="s">
        <v>123</v>
      </c>
      <c r="F36" s="29"/>
      <c r="G36" s="30" t="s">
        <v>34</v>
      </c>
      <c r="H36" s="28" t="s">
        <v>62</v>
      </c>
      <c r="I36" s="28"/>
      <c r="J36" s="28"/>
      <c r="K36" s="28" t="s">
        <v>131</v>
      </c>
      <c r="L36" s="5"/>
      <c r="M36" s="31"/>
      <c r="N36" s="31"/>
      <c r="O36" s="31"/>
      <c r="P36" s="31"/>
      <c r="Q36" s="31"/>
      <c r="R36" s="31"/>
      <c r="S36" s="31"/>
      <c r="T36" s="31"/>
      <c r="U36" s="31"/>
      <c r="V36" s="31"/>
    </row>
    <row r="37" ht="79.5" customHeight="1">
      <c r="A37" s="25">
        <v>27.0</v>
      </c>
      <c r="B37" s="26" t="str">
        <f t="shared" si="1"/>
        <v>LOET-RPP-VOP-CPP-0027</v>
      </c>
      <c r="C37" s="27" t="s">
        <v>132</v>
      </c>
      <c r="D37" s="28" t="s">
        <v>133</v>
      </c>
      <c r="E37" s="28" t="s">
        <v>134</v>
      </c>
      <c r="F37" s="29"/>
      <c r="G37" s="30" t="s">
        <v>34</v>
      </c>
      <c r="H37" s="28" t="s">
        <v>62</v>
      </c>
      <c r="I37" s="28"/>
      <c r="J37" s="28"/>
      <c r="K37" s="28"/>
      <c r="L37" s="5"/>
      <c r="M37" s="31"/>
      <c r="N37" s="31"/>
      <c r="O37" s="31"/>
      <c r="P37" s="31"/>
      <c r="Q37" s="31"/>
      <c r="R37" s="31"/>
      <c r="S37" s="31"/>
      <c r="T37" s="31"/>
      <c r="U37" s="31"/>
      <c r="V37" s="31"/>
    </row>
    <row r="38" ht="79.5" customHeight="1">
      <c r="A38" s="25">
        <v>28.0</v>
      </c>
      <c r="B38" s="26" t="str">
        <f t="shared" si="1"/>
        <v>LOET-RPP-VOP-CPP-0028</v>
      </c>
      <c r="C38" s="37" t="s">
        <v>135</v>
      </c>
      <c r="D38" s="27">
        <v>223333.0</v>
      </c>
      <c r="E38" s="27" t="s">
        <v>136</v>
      </c>
      <c r="F38" s="29"/>
      <c r="G38" s="38" t="s">
        <v>34</v>
      </c>
      <c r="H38" s="37" t="s">
        <v>62</v>
      </c>
      <c r="I38" s="37"/>
      <c r="J38" s="37"/>
      <c r="K38" s="37" t="s">
        <v>137</v>
      </c>
      <c r="L38" s="5"/>
      <c r="M38" s="31"/>
      <c r="N38" s="31"/>
      <c r="O38" s="31"/>
      <c r="P38" s="31"/>
      <c r="Q38" s="31"/>
      <c r="R38" s="31"/>
      <c r="S38" s="31"/>
      <c r="T38" s="31"/>
      <c r="U38" s="31"/>
      <c r="V38" s="31"/>
    </row>
    <row r="39" ht="79.5" customHeight="1">
      <c r="A39" s="25">
        <v>29.0</v>
      </c>
      <c r="B39" s="26" t="str">
        <f t="shared" si="1"/>
        <v>LOET-RPP-VOP-CPP-0029</v>
      </c>
      <c r="C39" s="27" t="s">
        <v>138</v>
      </c>
      <c r="D39" s="28" t="s">
        <v>139</v>
      </c>
      <c r="E39" s="27" t="s">
        <v>140</v>
      </c>
      <c r="F39" s="29"/>
      <c r="G39" s="30" t="s">
        <v>34</v>
      </c>
      <c r="H39" s="37" t="s">
        <v>62</v>
      </c>
      <c r="I39" s="28"/>
      <c r="J39" s="28"/>
      <c r="K39" s="28"/>
      <c r="L39" s="11"/>
      <c r="M39" s="31"/>
      <c r="N39" s="31"/>
      <c r="O39" s="31"/>
      <c r="P39" s="31"/>
      <c r="Q39" s="31"/>
      <c r="R39" s="31"/>
      <c r="S39" s="31"/>
      <c r="T39" s="31"/>
      <c r="U39" s="31"/>
      <c r="V39" s="31"/>
    </row>
    <row r="40" ht="79.5" customHeight="1">
      <c r="A40" s="25">
        <v>30.0</v>
      </c>
      <c r="B40" s="26" t="str">
        <f t="shared" si="1"/>
        <v>LOET-RPP-VOP-CPP-0030</v>
      </c>
      <c r="C40" s="27" t="s">
        <v>141</v>
      </c>
      <c r="D40" s="28" t="s">
        <v>142</v>
      </c>
      <c r="E40" s="28" t="s">
        <v>143</v>
      </c>
      <c r="F40" s="29"/>
      <c r="G40" s="30" t="s">
        <v>34</v>
      </c>
      <c r="H40" s="37" t="s">
        <v>93</v>
      </c>
      <c r="I40" s="28"/>
      <c r="J40" s="28"/>
      <c r="K40" s="28" t="s">
        <v>144</v>
      </c>
      <c r="L40" s="11"/>
      <c r="M40" s="31"/>
      <c r="N40" s="31"/>
      <c r="O40" s="31"/>
      <c r="P40" s="31"/>
      <c r="Q40" s="31"/>
      <c r="R40" s="31"/>
      <c r="S40" s="31"/>
      <c r="T40" s="31"/>
      <c r="U40" s="31"/>
      <c r="V40" s="31"/>
    </row>
    <row r="41" ht="79.5" customHeight="1">
      <c r="A41" s="25">
        <v>31.0</v>
      </c>
      <c r="B41" s="26" t="str">
        <f t="shared" si="1"/>
        <v>LOET-RPP-VOP-CPP-0031</v>
      </c>
      <c r="C41" s="27" t="s">
        <v>145</v>
      </c>
      <c r="D41" s="28" t="s">
        <v>118</v>
      </c>
      <c r="E41" s="28" t="s">
        <v>146</v>
      </c>
      <c r="F41" s="39"/>
      <c r="G41" s="30" t="s">
        <v>34</v>
      </c>
      <c r="H41" s="28" t="s">
        <v>62</v>
      </c>
      <c r="I41" s="28"/>
      <c r="J41" s="28"/>
      <c r="K41" s="28" t="s">
        <v>147</v>
      </c>
      <c r="L41" s="11"/>
      <c r="M41" s="31"/>
      <c r="N41" s="31"/>
      <c r="O41" s="31"/>
      <c r="P41" s="31"/>
      <c r="Q41" s="31"/>
      <c r="R41" s="31"/>
      <c r="S41" s="31"/>
      <c r="T41" s="31"/>
      <c r="U41" s="31"/>
      <c r="V41" s="31"/>
    </row>
    <row r="42" ht="79.5" customHeight="1">
      <c r="A42" s="25">
        <v>32.0</v>
      </c>
      <c r="B42" s="26" t="str">
        <f t="shared" si="1"/>
        <v>LOET-RPP-VOP-CPP-0032</v>
      </c>
      <c r="C42" s="27" t="s">
        <v>148</v>
      </c>
      <c r="D42" s="27">
        <v>1234555.0</v>
      </c>
      <c r="E42" s="27" t="s">
        <v>149</v>
      </c>
      <c r="F42" s="29"/>
      <c r="G42" s="30" t="s">
        <v>34</v>
      </c>
      <c r="H42" s="28" t="s">
        <v>62</v>
      </c>
      <c r="I42" s="28"/>
      <c r="J42" s="28"/>
      <c r="K42" s="28"/>
      <c r="L42" s="11"/>
      <c r="M42" s="31"/>
      <c r="N42" s="31"/>
      <c r="O42" s="31"/>
      <c r="P42" s="31"/>
      <c r="Q42" s="31"/>
      <c r="R42" s="31"/>
      <c r="S42" s="31"/>
      <c r="T42" s="31"/>
      <c r="U42" s="31"/>
      <c r="V42" s="31"/>
    </row>
    <row r="43" ht="79.5" customHeight="1">
      <c r="A43" s="25">
        <v>33.0</v>
      </c>
      <c r="B43" s="26" t="str">
        <f t="shared" si="1"/>
        <v>LOET-RPP-VOP-CPP-0033</v>
      </c>
      <c r="C43" s="27" t="s">
        <v>150</v>
      </c>
      <c r="D43" s="28" t="s">
        <v>151</v>
      </c>
      <c r="E43" s="28" t="s">
        <v>152</v>
      </c>
      <c r="F43" s="29"/>
      <c r="G43" s="30" t="s">
        <v>34</v>
      </c>
      <c r="H43" s="28" t="s">
        <v>93</v>
      </c>
      <c r="I43" s="28"/>
      <c r="J43" s="28"/>
      <c r="K43" s="28"/>
      <c r="L43" s="11"/>
      <c r="M43" s="31"/>
      <c r="N43" s="31"/>
      <c r="O43" s="31"/>
      <c r="P43" s="31"/>
      <c r="Q43" s="31"/>
      <c r="R43" s="31"/>
      <c r="S43" s="31"/>
      <c r="T43" s="31"/>
      <c r="U43" s="31"/>
      <c r="V43" s="31"/>
    </row>
    <row r="44" ht="79.5" customHeight="1">
      <c r="A44" s="25">
        <v>34.0</v>
      </c>
      <c r="B44" s="26" t="str">
        <f t="shared" si="1"/>
        <v>LOET-RPP-VOP-CPP-0034</v>
      </c>
      <c r="C44" s="27" t="s">
        <v>153</v>
      </c>
      <c r="D44" s="28" t="s">
        <v>151</v>
      </c>
      <c r="E44" s="28" t="s">
        <v>154</v>
      </c>
      <c r="F44" s="29"/>
      <c r="G44" s="30" t="s">
        <v>34</v>
      </c>
      <c r="H44" s="28" t="s">
        <v>93</v>
      </c>
      <c r="I44" s="28"/>
      <c r="J44" s="28"/>
      <c r="K44" s="28"/>
      <c r="L44" s="11"/>
      <c r="M44" s="31"/>
      <c r="N44" s="31"/>
      <c r="O44" s="31"/>
      <c r="P44" s="31"/>
      <c r="Q44" s="31"/>
      <c r="R44" s="31"/>
      <c r="S44" s="31"/>
      <c r="T44" s="31"/>
      <c r="U44" s="31"/>
      <c r="V44" s="31"/>
    </row>
    <row r="45" ht="79.5" customHeight="1">
      <c r="A45" s="25">
        <v>35.0</v>
      </c>
      <c r="B45" s="26" t="str">
        <f t="shared" si="1"/>
        <v>LOET-RPP-VOP-CPP-0035</v>
      </c>
      <c r="C45" s="27" t="s">
        <v>155</v>
      </c>
      <c r="D45" s="28" t="s">
        <v>151</v>
      </c>
      <c r="E45" s="27" t="s">
        <v>156</v>
      </c>
      <c r="F45" s="29"/>
      <c r="G45" s="30" t="s">
        <v>34</v>
      </c>
      <c r="H45" s="28" t="s">
        <v>62</v>
      </c>
      <c r="I45" s="28"/>
      <c r="J45" s="28"/>
      <c r="K45" s="28"/>
      <c r="L45" s="11"/>
      <c r="M45" s="31"/>
      <c r="N45" s="31"/>
      <c r="O45" s="31"/>
      <c r="P45" s="31"/>
      <c r="Q45" s="31"/>
      <c r="R45" s="31"/>
      <c r="S45" s="31"/>
      <c r="T45" s="31"/>
      <c r="U45" s="31"/>
      <c r="V45" s="31"/>
    </row>
    <row r="46" ht="79.5" customHeight="1">
      <c r="A46" s="25">
        <v>36.0</v>
      </c>
      <c r="B46" s="26" t="str">
        <f t="shared" si="1"/>
        <v>LOET-RPP-VOP-CPP-0036</v>
      </c>
      <c r="C46" s="27" t="s">
        <v>157</v>
      </c>
      <c r="D46" s="28" t="s">
        <v>158</v>
      </c>
      <c r="E46" s="28" t="s">
        <v>159</v>
      </c>
      <c r="F46" s="29"/>
      <c r="G46" s="30" t="s">
        <v>34</v>
      </c>
      <c r="H46" s="28" t="s">
        <v>93</v>
      </c>
      <c r="I46" s="28"/>
      <c r="J46" s="28"/>
      <c r="K46" s="28"/>
      <c r="L46" s="11"/>
      <c r="M46" s="31"/>
      <c r="N46" s="31"/>
      <c r="O46" s="31"/>
      <c r="P46" s="31"/>
      <c r="Q46" s="31"/>
      <c r="R46" s="31"/>
      <c r="S46" s="31"/>
      <c r="T46" s="31"/>
      <c r="U46" s="31"/>
      <c r="V46" s="31"/>
    </row>
    <row r="47" ht="79.5" customHeight="1">
      <c r="A47" s="25">
        <v>37.0</v>
      </c>
      <c r="B47" s="26" t="str">
        <f t="shared" si="1"/>
        <v>LOET-RPP-VOP-CPP-0037</v>
      </c>
      <c r="C47" s="27" t="s">
        <v>160</v>
      </c>
      <c r="D47" s="28" t="s">
        <v>161</v>
      </c>
      <c r="E47" s="27" t="s">
        <v>162</v>
      </c>
      <c r="F47" s="29"/>
      <c r="G47" s="30" t="s">
        <v>34</v>
      </c>
      <c r="H47" s="28" t="s">
        <v>93</v>
      </c>
      <c r="I47" s="28"/>
      <c r="J47" s="28"/>
      <c r="K47" s="28"/>
      <c r="L47" s="11"/>
      <c r="M47" s="31"/>
      <c r="N47" s="31"/>
      <c r="O47" s="31"/>
      <c r="P47" s="31"/>
      <c r="Q47" s="31"/>
      <c r="R47" s="31"/>
      <c r="S47" s="31"/>
      <c r="T47" s="31"/>
      <c r="U47" s="31"/>
      <c r="V47" s="31"/>
    </row>
    <row r="48" ht="79.5" customHeight="1">
      <c r="A48" s="25">
        <v>38.0</v>
      </c>
      <c r="B48" s="26" t="str">
        <f t="shared" si="1"/>
        <v>LOET-RPP-VOP-CPP-0038</v>
      </c>
      <c r="C48" s="27" t="s">
        <v>163</v>
      </c>
      <c r="D48" s="28" t="s">
        <v>164</v>
      </c>
      <c r="E48" s="28" t="s">
        <v>165</v>
      </c>
      <c r="F48" s="29"/>
      <c r="G48" s="38" t="s">
        <v>34</v>
      </c>
      <c r="H48" s="37" t="s">
        <v>62</v>
      </c>
      <c r="I48" s="37"/>
      <c r="J48" s="37"/>
      <c r="K48" s="37" t="s">
        <v>166</v>
      </c>
      <c r="L48" s="11"/>
      <c r="M48" s="31"/>
      <c r="N48" s="31"/>
      <c r="O48" s="31"/>
      <c r="P48" s="31"/>
      <c r="Q48" s="31"/>
      <c r="R48" s="31"/>
      <c r="S48" s="31"/>
      <c r="T48" s="31"/>
      <c r="U48" s="31"/>
      <c r="V48" s="31"/>
    </row>
    <row r="49" ht="79.5" customHeight="1">
      <c r="A49" s="25">
        <v>39.0</v>
      </c>
      <c r="B49" s="26" t="str">
        <f t="shared" si="1"/>
        <v>LOET-RPP-VOP-CPP-0039</v>
      </c>
      <c r="C49" s="27" t="s">
        <v>167</v>
      </c>
      <c r="D49" s="28" t="s">
        <v>161</v>
      </c>
      <c r="E49" s="28" t="s">
        <v>168</v>
      </c>
      <c r="F49" s="29"/>
      <c r="G49" s="30" t="s">
        <v>34</v>
      </c>
      <c r="H49" s="37" t="s">
        <v>93</v>
      </c>
      <c r="I49" s="28"/>
      <c r="J49" s="28"/>
      <c r="K49" s="28"/>
      <c r="L49" s="11"/>
      <c r="M49" s="31"/>
      <c r="N49" s="31"/>
      <c r="O49" s="31"/>
      <c r="P49" s="31"/>
      <c r="Q49" s="31"/>
      <c r="R49" s="31"/>
      <c r="S49" s="31"/>
      <c r="T49" s="31"/>
      <c r="U49" s="31"/>
      <c r="V49" s="31"/>
    </row>
    <row r="50" ht="79.5" customHeight="1">
      <c r="A50" s="25">
        <v>40.0</v>
      </c>
      <c r="B50" s="26" t="str">
        <f t="shared" si="1"/>
        <v>LOET-RPP-VOP-CPP-0040</v>
      </c>
      <c r="C50" s="27" t="s">
        <v>169</v>
      </c>
      <c r="D50" s="28" t="s">
        <v>161</v>
      </c>
      <c r="E50" s="28" t="s">
        <v>168</v>
      </c>
      <c r="F50" s="29"/>
      <c r="G50" s="30" t="s">
        <v>34</v>
      </c>
      <c r="H50" s="37" t="s">
        <v>93</v>
      </c>
      <c r="I50" s="28"/>
      <c r="J50" s="28"/>
      <c r="K50" s="28"/>
      <c r="L50" s="11"/>
      <c r="M50" s="5"/>
      <c r="N50" s="5"/>
      <c r="O50" s="31"/>
      <c r="P50" s="31"/>
      <c r="Q50" s="31"/>
      <c r="R50" s="31"/>
      <c r="S50" s="31"/>
      <c r="T50" s="31"/>
      <c r="U50" s="31"/>
      <c r="V50" s="31"/>
    </row>
    <row r="51" ht="79.5" customHeight="1">
      <c r="A51" s="25">
        <v>41.0</v>
      </c>
      <c r="B51" s="26" t="str">
        <f t="shared" si="1"/>
        <v>LOET-RPP-VOP-CPP-0041</v>
      </c>
      <c r="C51" s="27" t="s">
        <v>103</v>
      </c>
      <c r="D51" s="28" t="s">
        <v>161</v>
      </c>
      <c r="E51" s="28" t="s">
        <v>168</v>
      </c>
      <c r="F51" s="29"/>
      <c r="G51" s="30" t="s">
        <v>34</v>
      </c>
      <c r="H51" s="37" t="s">
        <v>93</v>
      </c>
      <c r="I51" s="28"/>
      <c r="J51" s="28"/>
      <c r="K51" s="28"/>
      <c r="L51" s="11"/>
      <c r="M51" s="5"/>
      <c r="N51" s="5"/>
      <c r="O51" s="31"/>
      <c r="P51" s="31"/>
      <c r="Q51" s="31"/>
      <c r="R51" s="31"/>
      <c r="S51" s="31"/>
      <c r="T51" s="31"/>
      <c r="U51" s="31"/>
      <c r="V51" s="31"/>
    </row>
    <row r="52" ht="79.5" customHeight="1">
      <c r="A52" s="25">
        <v>42.0</v>
      </c>
      <c r="B52" s="26" t="str">
        <f t="shared" si="1"/>
        <v>LOET-RPP-VOP-CPP-0042</v>
      </c>
      <c r="C52" s="27" t="s">
        <v>170</v>
      </c>
      <c r="D52" s="28" t="s">
        <v>171</v>
      </c>
      <c r="E52" s="28" t="s">
        <v>172</v>
      </c>
      <c r="F52" s="29"/>
      <c r="G52" s="30" t="s">
        <v>173</v>
      </c>
      <c r="H52" s="37" t="s">
        <v>62</v>
      </c>
      <c r="I52" s="28"/>
      <c r="J52" s="28"/>
      <c r="K52" s="28" t="s">
        <v>174</v>
      </c>
      <c r="L52" s="11"/>
      <c r="M52" s="5"/>
      <c r="N52" s="5"/>
      <c r="O52" s="31"/>
      <c r="P52" s="31"/>
      <c r="Q52" s="31"/>
      <c r="R52" s="31"/>
      <c r="S52" s="31"/>
      <c r="T52" s="31"/>
      <c r="U52" s="31"/>
      <c r="V52" s="31"/>
    </row>
    <row r="53" ht="79.5" customHeight="1">
      <c r="A53" s="25">
        <v>43.0</v>
      </c>
      <c r="B53" s="26" t="str">
        <f t="shared" si="1"/>
        <v>LOET-RPP-VOP-CPP-0043</v>
      </c>
      <c r="C53" s="27" t="s">
        <v>175</v>
      </c>
      <c r="D53" s="28" t="s">
        <v>176</v>
      </c>
      <c r="E53" s="28" t="s">
        <v>177</v>
      </c>
      <c r="F53" s="29"/>
      <c r="G53" s="30" t="s">
        <v>34</v>
      </c>
      <c r="H53" s="37" t="s">
        <v>93</v>
      </c>
      <c r="I53" s="28"/>
      <c r="J53" s="28"/>
      <c r="K53" s="28"/>
      <c r="L53" s="11"/>
      <c r="M53" s="5"/>
      <c r="N53" s="5"/>
      <c r="O53" s="31"/>
      <c r="P53" s="31"/>
      <c r="Q53" s="31"/>
      <c r="R53" s="31"/>
      <c r="S53" s="31"/>
      <c r="T53" s="31"/>
      <c r="U53" s="31"/>
      <c r="V53" s="31"/>
    </row>
    <row r="54" ht="79.5" customHeight="1">
      <c r="A54" s="25">
        <v>44.0</v>
      </c>
      <c r="B54" s="26" t="str">
        <f t="shared" si="1"/>
        <v>LOET-RPP-VOP-CPP-0044</v>
      </c>
      <c r="C54" s="27" t="s">
        <v>178</v>
      </c>
      <c r="D54" s="28" t="s">
        <v>179</v>
      </c>
      <c r="E54" s="28" t="s">
        <v>180</v>
      </c>
      <c r="F54" s="29"/>
      <c r="G54" s="30" t="s">
        <v>34</v>
      </c>
      <c r="H54" s="37" t="s">
        <v>93</v>
      </c>
      <c r="I54" s="28"/>
      <c r="J54" s="28"/>
      <c r="K54" s="28" t="s">
        <v>181</v>
      </c>
      <c r="L54" s="11"/>
      <c r="M54" s="5"/>
      <c r="N54" s="5"/>
      <c r="O54" s="31"/>
      <c r="P54" s="31"/>
      <c r="Q54" s="31"/>
      <c r="R54" s="31"/>
      <c r="S54" s="31"/>
      <c r="T54" s="31"/>
      <c r="U54" s="31"/>
      <c r="V54" s="31"/>
    </row>
    <row r="55" ht="79.5" customHeight="1">
      <c r="A55" s="25">
        <v>45.0</v>
      </c>
      <c r="B55" s="26" t="str">
        <f t="shared" si="1"/>
        <v>LOET-RPP-VOP-CPP-0045</v>
      </c>
      <c r="C55" s="27" t="s">
        <v>182</v>
      </c>
      <c r="D55" s="28">
        <v>3456789.0</v>
      </c>
      <c r="E55" s="28" t="s">
        <v>183</v>
      </c>
      <c r="F55" s="29"/>
      <c r="G55" s="30" t="s">
        <v>34</v>
      </c>
      <c r="H55" s="37" t="s">
        <v>93</v>
      </c>
      <c r="I55" s="28"/>
      <c r="J55" s="28"/>
      <c r="K55" s="28"/>
      <c r="L55" s="11"/>
      <c r="M55" s="5"/>
      <c r="N55" s="5"/>
      <c r="O55" s="31"/>
      <c r="P55" s="31"/>
      <c r="Q55" s="31"/>
      <c r="R55" s="31"/>
      <c r="S55" s="31"/>
      <c r="T55" s="31"/>
      <c r="U55" s="31"/>
      <c r="V55" s="31"/>
    </row>
    <row r="56" ht="79.5" customHeight="1">
      <c r="A56" s="25">
        <v>56.0</v>
      </c>
      <c r="B56" s="26" t="str">
        <f t="shared" si="1"/>
        <v>LOET-RPP-VOP-CPP-0046</v>
      </c>
      <c r="C56" s="27" t="s">
        <v>184</v>
      </c>
      <c r="D56" s="28" t="s">
        <v>185</v>
      </c>
      <c r="E56" s="28" t="s">
        <v>186</v>
      </c>
      <c r="F56" s="29"/>
      <c r="G56" s="30" t="s">
        <v>34</v>
      </c>
      <c r="H56" s="28" t="s">
        <v>93</v>
      </c>
      <c r="I56" s="28"/>
      <c r="J56" s="28"/>
      <c r="K56" s="28"/>
      <c r="L56" s="11"/>
      <c r="M56" s="5"/>
      <c r="N56" s="5"/>
      <c r="O56" s="31"/>
      <c r="P56" s="31"/>
      <c r="Q56" s="31"/>
      <c r="R56" s="31"/>
      <c r="S56" s="31"/>
      <c r="T56" s="31"/>
      <c r="U56" s="31"/>
      <c r="V56" s="31"/>
    </row>
    <row r="57" ht="79.5" customHeight="1">
      <c r="A57" s="25">
        <v>47.0</v>
      </c>
      <c r="B57" s="26" t="str">
        <f t="shared" si="1"/>
        <v>LOET-RPP-VOP-CPP-0047</v>
      </c>
      <c r="C57" s="27" t="s">
        <v>187</v>
      </c>
      <c r="D57" s="28">
        <v>653567.0</v>
      </c>
      <c r="E57" s="28" t="s">
        <v>188</v>
      </c>
      <c r="F57" s="29"/>
      <c r="G57" s="30" t="s">
        <v>34</v>
      </c>
      <c r="H57" s="28" t="s">
        <v>93</v>
      </c>
      <c r="I57" s="28"/>
      <c r="J57" s="28"/>
      <c r="K57" s="28"/>
      <c r="L57" s="5"/>
      <c r="M57" s="5"/>
      <c r="N57" s="5"/>
      <c r="O57" s="31"/>
      <c r="P57" s="31"/>
      <c r="Q57" s="31"/>
      <c r="R57" s="31"/>
      <c r="S57" s="31"/>
      <c r="T57" s="31"/>
      <c r="U57" s="31"/>
      <c r="V57" s="31"/>
    </row>
    <row r="58" ht="79.5" customHeight="1">
      <c r="A58" s="25">
        <v>48.0</v>
      </c>
      <c r="B58" s="26" t="str">
        <f t="shared" si="1"/>
        <v>LOET-RPP-VOP-CPP-0048</v>
      </c>
      <c r="C58" s="28" t="s">
        <v>189</v>
      </c>
      <c r="D58" s="28">
        <v>157803.0</v>
      </c>
      <c r="E58" s="28" t="s">
        <v>190</v>
      </c>
      <c r="F58" s="29"/>
      <c r="G58" s="30" t="s">
        <v>34</v>
      </c>
      <c r="H58" s="28" t="s">
        <v>62</v>
      </c>
      <c r="I58" s="28"/>
      <c r="J58" s="28"/>
      <c r="K58" s="28" t="s">
        <v>191</v>
      </c>
      <c r="L58" s="5"/>
      <c r="M58" s="5"/>
      <c r="N58" s="5"/>
      <c r="O58" s="31"/>
      <c r="P58" s="31"/>
      <c r="Q58" s="31"/>
      <c r="R58" s="31"/>
      <c r="S58" s="31"/>
      <c r="T58" s="31"/>
      <c r="U58" s="31"/>
      <c r="V58" s="31"/>
    </row>
    <row r="59" ht="79.5" customHeight="1">
      <c r="A59" s="25">
        <v>49.0</v>
      </c>
      <c r="B59" s="26" t="str">
        <f t="shared" si="1"/>
        <v>LOET-RPP-VOP-CPP-0049</v>
      </c>
      <c r="C59" s="28" t="s">
        <v>192</v>
      </c>
      <c r="D59" s="28">
        <v>157803.0</v>
      </c>
      <c r="E59" s="28" t="s">
        <v>193</v>
      </c>
      <c r="F59" s="29"/>
      <c r="G59" s="30" t="s">
        <v>34</v>
      </c>
      <c r="H59" s="34" t="s">
        <v>93</v>
      </c>
      <c r="I59" s="28"/>
      <c r="J59" s="28"/>
      <c r="K59" s="28"/>
      <c r="L59" s="5"/>
      <c r="M59" s="5"/>
      <c r="N59" s="5"/>
      <c r="O59" s="31"/>
      <c r="P59" s="31"/>
      <c r="Q59" s="31"/>
      <c r="R59" s="31"/>
      <c r="S59" s="31"/>
      <c r="T59" s="31"/>
      <c r="U59" s="31"/>
      <c r="V59" s="31"/>
    </row>
    <row r="60" ht="79.5" customHeight="1">
      <c r="A60" s="25">
        <v>50.0</v>
      </c>
      <c r="B60" s="26" t="str">
        <f t="shared" si="1"/>
        <v>LOET-RPP-VOP-CPP-0050</v>
      </c>
      <c r="C60" s="27" t="s">
        <v>194</v>
      </c>
      <c r="D60" s="28"/>
      <c r="E60" s="28" t="s">
        <v>195</v>
      </c>
      <c r="F60" s="29"/>
      <c r="G60" s="30" t="s">
        <v>34</v>
      </c>
      <c r="H60" s="28" t="s">
        <v>62</v>
      </c>
      <c r="I60" s="28"/>
      <c r="J60" s="28"/>
      <c r="K60" s="28"/>
      <c r="L60" s="5"/>
      <c r="M60" s="5"/>
      <c r="N60" s="5"/>
      <c r="O60" s="31"/>
      <c r="P60" s="31"/>
      <c r="Q60" s="31"/>
      <c r="R60" s="31"/>
      <c r="S60" s="31"/>
      <c r="T60" s="31"/>
      <c r="U60" s="31"/>
      <c r="V60" s="31"/>
    </row>
    <row r="61" ht="79.5" customHeight="1">
      <c r="A61" s="25">
        <v>51.0</v>
      </c>
      <c r="B61" s="26" t="str">
        <f t="shared" si="1"/>
        <v>LOET-RPP-VOP-CPP-0051</v>
      </c>
      <c r="C61" s="27" t="s">
        <v>196</v>
      </c>
      <c r="D61" s="40" t="s">
        <v>197</v>
      </c>
      <c r="E61" s="40" t="s">
        <v>156</v>
      </c>
      <c r="F61" s="41"/>
      <c r="G61" s="30" t="s">
        <v>34</v>
      </c>
      <c r="H61" s="28" t="s">
        <v>62</v>
      </c>
      <c r="I61" s="28"/>
      <c r="J61" s="28"/>
      <c r="K61" s="28"/>
      <c r="L61" s="5"/>
      <c r="M61" s="5"/>
      <c r="N61" s="5"/>
      <c r="O61" s="31"/>
      <c r="P61" s="31"/>
      <c r="Q61" s="31"/>
      <c r="R61" s="31"/>
      <c r="S61" s="31"/>
      <c r="T61" s="31"/>
      <c r="U61" s="31"/>
      <c r="V61" s="31"/>
    </row>
    <row r="62" ht="79.5" customHeight="1">
      <c r="A62" s="25">
        <v>52.0</v>
      </c>
      <c r="B62" s="26" t="str">
        <f t="shared" si="1"/>
        <v>LOET-RPP-VOP-CPP-0052</v>
      </c>
      <c r="C62" s="40" t="s">
        <v>198</v>
      </c>
      <c r="D62" s="42" t="s">
        <v>199</v>
      </c>
      <c r="E62" s="40" t="s">
        <v>200</v>
      </c>
      <c r="F62" s="41"/>
      <c r="G62" s="30" t="s">
        <v>34</v>
      </c>
      <c r="H62" s="28" t="s">
        <v>93</v>
      </c>
      <c r="I62" s="28"/>
      <c r="J62" s="28"/>
      <c r="K62" s="28"/>
      <c r="L62" s="5"/>
      <c r="M62" s="5"/>
      <c r="N62" s="5"/>
      <c r="O62" s="31"/>
      <c r="P62" s="31"/>
      <c r="Q62" s="31"/>
      <c r="R62" s="31"/>
      <c r="S62" s="31"/>
      <c r="T62" s="31"/>
      <c r="U62" s="31"/>
      <c r="V62" s="31"/>
    </row>
    <row r="63" ht="79.5" customHeight="1">
      <c r="A63" s="25">
        <v>53.0</v>
      </c>
      <c r="B63" s="26" t="str">
        <f t="shared" si="1"/>
        <v>LOET-RPP-VOP-CPP-0053</v>
      </c>
      <c r="C63" s="40" t="s">
        <v>201</v>
      </c>
      <c r="D63" s="40" t="s">
        <v>199</v>
      </c>
      <c r="E63" s="40" t="s">
        <v>202</v>
      </c>
      <c r="F63" s="41"/>
      <c r="G63" s="30" t="s">
        <v>34</v>
      </c>
      <c r="H63" s="28" t="s">
        <v>93</v>
      </c>
      <c r="I63" s="28"/>
      <c r="J63" s="28"/>
      <c r="K63" s="28"/>
      <c r="L63" s="5"/>
      <c r="M63" s="5"/>
      <c r="N63" s="5"/>
      <c r="O63" s="31"/>
      <c r="P63" s="31"/>
      <c r="Q63" s="31"/>
      <c r="R63" s="31"/>
      <c r="S63" s="31"/>
      <c r="T63" s="31"/>
      <c r="U63" s="31"/>
      <c r="V63" s="31"/>
    </row>
    <row r="64" ht="79.5" customHeight="1">
      <c r="A64" s="25">
        <v>54.0</v>
      </c>
      <c r="B64" s="26" t="str">
        <f t="shared" si="1"/>
        <v>LOET-RPP-VOP-CPP-0054</v>
      </c>
      <c r="C64" s="40" t="s">
        <v>203</v>
      </c>
      <c r="D64" s="27"/>
      <c r="E64" s="42" t="s">
        <v>204</v>
      </c>
      <c r="F64" s="41"/>
      <c r="G64" s="30" t="s">
        <v>34</v>
      </c>
      <c r="H64" s="28" t="s">
        <v>93</v>
      </c>
      <c r="I64" s="28"/>
      <c r="J64" s="28"/>
      <c r="K64" s="28"/>
      <c r="L64" s="5"/>
      <c r="M64" s="5"/>
      <c r="N64" s="5"/>
      <c r="O64" s="31"/>
      <c r="P64" s="31"/>
      <c r="Q64" s="31"/>
      <c r="R64" s="31"/>
      <c r="S64" s="31"/>
      <c r="T64" s="31"/>
      <c r="U64" s="31"/>
      <c r="V64" s="31"/>
    </row>
    <row r="65" ht="79.5" customHeight="1">
      <c r="A65" s="25">
        <v>55.0</v>
      </c>
      <c r="B65" s="26" t="str">
        <f t="shared" si="1"/>
        <v>LOET-RPP-VOP-CPP-0055</v>
      </c>
      <c r="C65" s="27" t="s">
        <v>205</v>
      </c>
      <c r="D65" s="40" t="s">
        <v>206</v>
      </c>
      <c r="E65" s="40" t="s">
        <v>47</v>
      </c>
      <c r="F65" s="41"/>
      <c r="G65" s="30" t="s">
        <v>34</v>
      </c>
      <c r="H65" s="28" t="s">
        <v>62</v>
      </c>
      <c r="I65" s="28"/>
      <c r="J65" s="28"/>
      <c r="K65" s="28"/>
      <c r="L65" s="5"/>
      <c r="M65" s="5"/>
      <c r="N65" s="5"/>
      <c r="O65" s="31"/>
      <c r="P65" s="31"/>
      <c r="Q65" s="31"/>
      <c r="R65" s="31"/>
      <c r="S65" s="31"/>
      <c r="T65" s="31"/>
      <c r="U65" s="31"/>
      <c r="V65" s="31"/>
    </row>
    <row r="66" ht="79.5" customHeight="1">
      <c r="A66" s="25">
        <v>56.0</v>
      </c>
      <c r="B66" s="26" t="str">
        <f t="shared" si="1"/>
        <v>LOET-RPP-VOP-CPP-0056</v>
      </c>
      <c r="C66" s="27" t="s">
        <v>207</v>
      </c>
      <c r="D66" s="40" t="s">
        <v>208</v>
      </c>
      <c r="E66" s="40" t="s">
        <v>209</v>
      </c>
      <c r="F66" s="41"/>
      <c r="G66" s="30" t="s">
        <v>34</v>
      </c>
      <c r="H66" s="28" t="s">
        <v>62</v>
      </c>
      <c r="I66" s="28"/>
      <c r="J66" s="28"/>
      <c r="K66" s="28" t="s">
        <v>210</v>
      </c>
      <c r="L66" s="5"/>
      <c r="M66" s="5"/>
      <c r="N66" s="5"/>
      <c r="O66" s="31"/>
      <c r="P66" s="31"/>
      <c r="Q66" s="31"/>
      <c r="R66" s="31"/>
      <c r="S66" s="31"/>
      <c r="T66" s="31"/>
      <c r="U66" s="31"/>
      <c r="V66" s="31"/>
    </row>
    <row r="67" ht="79.5" customHeight="1">
      <c r="A67" s="25">
        <v>57.0</v>
      </c>
      <c r="B67" s="26" t="str">
        <f t="shared" si="1"/>
        <v>LOET-RPP-VOP-CPP-0057</v>
      </c>
      <c r="C67" s="27" t="s">
        <v>211</v>
      </c>
      <c r="D67" s="40">
        <v>1234567.0</v>
      </c>
      <c r="E67" s="27" t="s">
        <v>212</v>
      </c>
      <c r="F67" s="41"/>
      <c r="G67" s="43" t="s">
        <v>34</v>
      </c>
      <c r="H67" s="28" t="s">
        <v>93</v>
      </c>
      <c r="I67" s="40"/>
      <c r="J67" s="40"/>
      <c r="K67" s="40"/>
      <c r="L67" s="5"/>
      <c r="M67" s="5"/>
      <c r="N67" s="5"/>
      <c r="O67" s="31"/>
      <c r="P67" s="31"/>
      <c r="Q67" s="31"/>
      <c r="R67" s="31"/>
      <c r="S67" s="31"/>
      <c r="T67" s="31"/>
      <c r="U67" s="31"/>
      <c r="V67" s="31"/>
    </row>
    <row r="68" ht="79.5" customHeight="1">
      <c r="A68" s="25">
        <v>58.0</v>
      </c>
      <c r="B68" s="26" t="str">
        <f t="shared" si="1"/>
        <v>LOET-RPP-VOP-CPP-0058</v>
      </c>
      <c r="C68" s="27" t="s">
        <v>213</v>
      </c>
      <c r="D68" s="28" t="s">
        <v>206</v>
      </c>
      <c r="E68" s="34" t="s">
        <v>214</v>
      </c>
      <c r="F68" s="41"/>
      <c r="G68" s="30" t="s">
        <v>34</v>
      </c>
      <c r="H68" s="28" t="s">
        <v>93</v>
      </c>
      <c r="I68" s="28"/>
      <c r="J68" s="28"/>
      <c r="K68" s="28"/>
      <c r="L68" s="5"/>
      <c r="M68" s="5"/>
      <c r="N68" s="5"/>
      <c r="O68" s="31"/>
      <c r="P68" s="31"/>
      <c r="Q68" s="31"/>
      <c r="R68" s="31"/>
      <c r="S68" s="31"/>
      <c r="T68" s="31"/>
      <c r="U68" s="31"/>
      <c r="V68" s="31"/>
    </row>
    <row r="69" ht="79.5" customHeight="1">
      <c r="A69" s="25">
        <v>59.0</v>
      </c>
      <c r="B69" s="26" t="str">
        <f t="shared" si="1"/>
        <v>LOET-RPP-VOP-CPP-0059</v>
      </c>
      <c r="C69" s="27" t="s">
        <v>215</v>
      </c>
      <c r="D69" s="28">
        <v>135665.0</v>
      </c>
      <c r="E69" s="28" t="s">
        <v>216</v>
      </c>
      <c r="F69" s="41"/>
      <c r="G69" s="30" t="s">
        <v>34</v>
      </c>
      <c r="H69" s="28" t="s">
        <v>62</v>
      </c>
      <c r="I69" s="28"/>
      <c r="J69" s="28"/>
      <c r="K69" s="28"/>
      <c r="L69" s="5"/>
      <c r="M69" s="5"/>
      <c r="N69" s="5"/>
      <c r="O69" s="31"/>
      <c r="P69" s="31"/>
      <c r="Q69" s="31"/>
      <c r="R69" s="31"/>
      <c r="S69" s="31"/>
      <c r="T69" s="31"/>
      <c r="U69" s="31"/>
      <c r="V69" s="31"/>
    </row>
    <row r="70" ht="79.5" customHeight="1">
      <c r="A70" s="25">
        <v>60.0</v>
      </c>
      <c r="B70" s="26" t="str">
        <f t="shared" si="1"/>
        <v>LOET-RPP-VOP-CPP-0060</v>
      </c>
      <c r="C70" s="27" t="s">
        <v>217</v>
      </c>
      <c r="D70" s="28" t="s">
        <v>218</v>
      </c>
      <c r="E70" s="28" t="s">
        <v>219</v>
      </c>
      <c r="F70" s="29"/>
      <c r="G70" s="30" t="s">
        <v>34</v>
      </c>
      <c r="H70" s="28" t="s">
        <v>62</v>
      </c>
      <c r="I70" s="28"/>
      <c r="J70" s="28"/>
      <c r="K70" s="28"/>
      <c r="L70" s="5"/>
      <c r="M70" s="5"/>
      <c r="N70" s="5"/>
      <c r="O70" s="31"/>
      <c r="P70" s="31"/>
      <c r="Q70" s="31"/>
      <c r="R70" s="31"/>
      <c r="S70" s="31"/>
      <c r="T70" s="31"/>
      <c r="U70" s="31"/>
      <c r="V70" s="31"/>
    </row>
    <row r="71" ht="79.5" customHeight="1">
      <c r="A71" s="25">
        <v>61.0</v>
      </c>
      <c r="B71" s="26" t="str">
        <f t="shared" si="1"/>
        <v>LOET-RPP-VOP-CPP-0061</v>
      </c>
      <c r="C71" s="27" t="s">
        <v>220</v>
      </c>
      <c r="D71" s="27">
        <v>123456.0</v>
      </c>
      <c r="E71" s="28" t="s">
        <v>221</v>
      </c>
      <c r="F71" s="29"/>
      <c r="G71" s="30" t="s">
        <v>34</v>
      </c>
      <c r="H71" s="28" t="s">
        <v>62</v>
      </c>
      <c r="I71" s="28"/>
      <c r="J71" s="28"/>
      <c r="K71" s="28" t="s">
        <v>222</v>
      </c>
      <c r="L71" s="5"/>
      <c r="M71" s="5"/>
      <c r="N71" s="5"/>
      <c r="O71" s="31"/>
      <c r="P71" s="31"/>
      <c r="Q71" s="31"/>
      <c r="R71" s="31"/>
      <c r="S71" s="31"/>
      <c r="T71" s="31"/>
      <c r="U71" s="31"/>
      <c r="V71" s="31"/>
    </row>
    <row r="72" ht="79.5" customHeight="1">
      <c r="A72" s="25">
        <v>62.0</v>
      </c>
      <c r="B72" s="26" t="str">
        <f t="shared" si="1"/>
        <v>LOET-RPP-VOP-CPP-0062</v>
      </c>
      <c r="C72" s="28" t="s">
        <v>223</v>
      </c>
      <c r="D72" s="28" t="s">
        <v>224</v>
      </c>
      <c r="E72" s="28" t="s">
        <v>209</v>
      </c>
      <c r="F72" s="29"/>
      <c r="G72" s="30" t="s">
        <v>34</v>
      </c>
      <c r="H72" s="28" t="s">
        <v>62</v>
      </c>
      <c r="I72" s="28"/>
      <c r="J72" s="28"/>
      <c r="K72" s="28" t="s">
        <v>225</v>
      </c>
      <c r="L72" s="5"/>
      <c r="M72" s="5"/>
      <c r="N72" s="5"/>
      <c r="O72" s="31"/>
      <c r="P72" s="31"/>
      <c r="Q72" s="31"/>
      <c r="R72" s="31"/>
      <c r="S72" s="31"/>
      <c r="T72" s="31"/>
      <c r="U72" s="31"/>
      <c r="V72" s="31"/>
    </row>
    <row r="73" ht="79.5" customHeight="1">
      <c r="A73" s="44">
        <v>63.0</v>
      </c>
      <c r="B73" s="26" t="str">
        <f t="shared" ref="B73:B135" si="2">"LOET-RPB-VOB-CPB-" &amp; TEXT(62 + ROW(A1),"0000")</f>
        <v>LOET-RPB-VOB-CPB-0063</v>
      </c>
      <c r="C73" s="28" t="s">
        <v>226</v>
      </c>
      <c r="D73" s="45" t="s">
        <v>227</v>
      </c>
      <c r="E73" s="27" t="s">
        <v>228</v>
      </c>
      <c r="F73" s="28"/>
      <c r="G73" s="30" t="s">
        <v>34</v>
      </c>
      <c r="H73" s="28" t="s">
        <v>93</v>
      </c>
      <c r="I73" s="28"/>
      <c r="J73" s="28"/>
      <c r="K73" s="28"/>
      <c r="L73" s="7"/>
    </row>
    <row r="74" ht="79.5" customHeight="1">
      <c r="A74" s="44">
        <v>64.0</v>
      </c>
      <c r="B74" s="26" t="str">
        <f t="shared" si="2"/>
        <v>LOET-RPB-VOB-CPB-0064</v>
      </c>
      <c r="C74" s="28" t="s">
        <v>229</v>
      </c>
      <c r="D74" s="27" t="s">
        <v>230</v>
      </c>
      <c r="E74" s="27" t="s">
        <v>231</v>
      </c>
      <c r="F74" s="28"/>
      <c r="G74" s="30" t="s">
        <v>34</v>
      </c>
      <c r="H74" s="28" t="s">
        <v>93</v>
      </c>
      <c r="I74" s="28"/>
      <c r="J74" s="28"/>
      <c r="K74" s="28"/>
      <c r="L74" s="7"/>
    </row>
    <row r="75" ht="79.5" customHeight="1">
      <c r="A75" s="44">
        <v>65.0</v>
      </c>
      <c r="B75" s="26" t="str">
        <f t="shared" si="2"/>
        <v>LOET-RPB-VOB-CPB-0065</v>
      </c>
      <c r="C75" s="28" t="s">
        <v>232</v>
      </c>
      <c r="D75" s="28" t="s">
        <v>233</v>
      </c>
      <c r="E75" s="28" t="s">
        <v>231</v>
      </c>
      <c r="F75" s="28"/>
      <c r="G75" s="30" t="s">
        <v>34</v>
      </c>
      <c r="H75" s="28" t="s">
        <v>62</v>
      </c>
      <c r="I75" s="28"/>
      <c r="J75" s="28"/>
      <c r="K75" s="28" t="s">
        <v>234</v>
      </c>
      <c r="L75" s="7" t="s">
        <v>44</v>
      </c>
    </row>
    <row r="76" ht="79.5" customHeight="1">
      <c r="A76" s="44">
        <v>66.0</v>
      </c>
      <c r="B76" s="26" t="str">
        <f t="shared" si="2"/>
        <v>LOET-RPB-VOB-CPB-0066</v>
      </c>
      <c r="C76" s="28" t="s">
        <v>235</v>
      </c>
      <c r="D76" s="28" t="s">
        <v>236</v>
      </c>
      <c r="E76" s="28" t="s">
        <v>237</v>
      </c>
      <c r="F76" s="28"/>
      <c r="G76" s="30" t="s">
        <v>34</v>
      </c>
      <c r="H76" s="28" t="s">
        <v>93</v>
      </c>
      <c r="I76" s="28"/>
      <c r="J76" s="28"/>
      <c r="K76" s="28"/>
      <c r="L76" s="7"/>
    </row>
    <row r="77" ht="79.5" customHeight="1">
      <c r="A77" s="44">
        <v>67.0</v>
      </c>
      <c r="B77" s="26" t="str">
        <f t="shared" si="2"/>
        <v>LOET-RPB-VOB-CPB-0067</v>
      </c>
      <c r="C77" s="28" t="s">
        <v>238</v>
      </c>
      <c r="D77" s="28" t="s">
        <v>239</v>
      </c>
      <c r="E77" s="28" t="s">
        <v>231</v>
      </c>
      <c r="F77" s="28"/>
      <c r="G77" s="30" t="s">
        <v>34</v>
      </c>
      <c r="H77" s="28" t="s">
        <v>240</v>
      </c>
      <c r="I77" s="28"/>
      <c r="J77" s="28"/>
      <c r="K77" s="28" t="s">
        <v>241</v>
      </c>
      <c r="L77" s="46"/>
    </row>
    <row r="78" ht="79.5" customHeight="1">
      <c r="A78" s="44">
        <v>68.0</v>
      </c>
      <c r="B78" s="26" t="str">
        <f t="shared" si="2"/>
        <v>LOET-RPB-VOB-CPB-0068</v>
      </c>
      <c r="C78" s="28" t="s">
        <v>242</v>
      </c>
      <c r="D78" s="28" t="s">
        <v>243</v>
      </c>
      <c r="E78" s="45" t="s">
        <v>244</v>
      </c>
      <c r="F78" s="28"/>
      <c r="G78" s="30" t="s">
        <v>34</v>
      </c>
      <c r="H78" s="28" t="s">
        <v>62</v>
      </c>
      <c r="I78" s="28"/>
      <c r="J78" s="28"/>
      <c r="K78" s="28" t="s">
        <v>245</v>
      </c>
      <c r="L78" s="7"/>
    </row>
    <row r="79" ht="79.5" customHeight="1">
      <c r="A79" s="44">
        <v>69.0</v>
      </c>
      <c r="B79" s="26" t="str">
        <f t="shared" si="2"/>
        <v>LOET-RPB-VOB-CPB-0069</v>
      </c>
      <c r="C79" s="28" t="s">
        <v>246</v>
      </c>
      <c r="D79" s="28" t="s">
        <v>247</v>
      </c>
      <c r="E79" s="27" t="s">
        <v>244</v>
      </c>
      <c r="F79" s="28"/>
      <c r="G79" s="30" t="s">
        <v>34</v>
      </c>
      <c r="H79" s="28" t="s">
        <v>62</v>
      </c>
      <c r="I79" s="28"/>
      <c r="J79" s="28"/>
      <c r="K79" s="28" t="s">
        <v>248</v>
      </c>
      <c r="L79" s="7"/>
    </row>
    <row r="80" ht="79.5" customHeight="1">
      <c r="A80" s="44">
        <v>70.0</v>
      </c>
      <c r="B80" s="26" t="str">
        <f t="shared" si="2"/>
        <v>LOET-RPB-VOB-CPB-0070</v>
      </c>
      <c r="C80" s="28" t="s">
        <v>249</v>
      </c>
      <c r="D80" s="28" t="s">
        <v>250</v>
      </c>
      <c r="E80" s="27" t="s">
        <v>244</v>
      </c>
      <c r="F80" s="28"/>
      <c r="G80" s="30" t="s">
        <v>34</v>
      </c>
      <c r="H80" s="28" t="s">
        <v>62</v>
      </c>
      <c r="I80" s="28"/>
      <c r="J80" s="28"/>
      <c r="K80" s="28" t="s">
        <v>241</v>
      </c>
      <c r="L80" s="7"/>
    </row>
    <row r="81" ht="79.5" customHeight="1">
      <c r="A81" s="44">
        <v>71.0</v>
      </c>
      <c r="B81" s="26" t="str">
        <f t="shared" si="2"/>
        <v>LOET-RPB-VOB-CPB-0071</v>
      </c>
      <c r="C81" s="28" t="s">
        <v>251</v>
      </c>
      <c r="D81" s="33" t="s">
        <v>252</v>
      </c>
      <c r="E81" s="45" t="s">
        <v>244</v>
      </c>
      <c r="F81" s="28"/>
      <c r="G81" s="30" t="s">
        <v>34</v>
      </c>
      <c r="H81" s="28" t="s">
        <v>62</v>
      </c>
      <c r="I81" s="28"/>
      <c r="J81" s="28"/>
      <c r="K81" s="28" t="s">
        <v>241</v>
      </c>
      <c r="L81" s="7"/>
    </row>
    <row r="82" ht="79.5" customHeight="1">
      <c r="A82" s="44">
        <v>72.0</v>
      </c>
      <c r="B82" s="26" t="str">
        <f t="shared" si="2"/>
        <v>LOET-RPB-VOB-CPB-0072</v>
      </c>
      <c r="C82" s="28" t="s">
        <v>253</v>
      </c>
      <c r="D82" s="28" t="s">
        <v>254</v>
      </c>
      <c r="E82" s="27" t="s">
        <v>244</v>
      </c>
      <c r="F82" s="28"/>
      <c r="G82" s="30" t="s">
        <v>34</v>
      </c>
      <c r="H82" s="28" t="s">
        <v>62</v>
      </c>
      <c r="I82" s="28"/>
      <c r="J82" s="28"/>
      <c r="K82" s="28" t="s">
        <v>241</v>
      </c>
      <c r="L82" s="7"/>
    </row>
    <row r="83" ht="79.5" customHeight="1">
      <c r="A83" s="44">
        <v>73.0</v>
      </c>
      <c r="B83" s="26" t="str">
        <f t="shared" si="2"/>
        <v>LOET-RPB-VOB-CPB-0073</v>
      </c>
      <c r="C83" s="28" t="s">
        <v>255</v>
      </c>
      <c r="D83" s="28" t="s">
        <v>256</v>
      </c>
      <c r="E83" s="27" t="s">
        <v>244</v>
      </c>
      <c r="F83" s="28"/>
      <c r="G83" s="30" t="s">
        <v>34</v>
      </c>
      <c r="H83" s="28" t="s">
        <v>62</v>
      </c>
      <c r="I83" s="28"/>
      <c r="J83" s="28"/>
      <c r="K83" s="28" t="s">
        <v>241</v>
      </c>
      <c r="L83" s="7"/>
    </row>
    <row r="84" ht="79.5" customHeight="1">
      <c r="A84" s="44">
        <v>74.0</v>
      </c>
      <c r="B84" s="26" t="str">
        <f t="shared" si="2"/>
        <v>LOET-RPB-VOB-CPB-0074</v>
      </c>
      <c r="C84" s="28" t="s">
        <v>257</v>
      </c>
      <c r="D84" s="28" t="s">
        <v>258</v>
      </c>
      <c r="E84" s="27" t="s">
        <v>244</v>
      </c>
      <c r="F84" s="28"/>
      <c r="G84" s="30" t="s">
        <v>34</v>
      </c>
      <c r="H84" s="28" t="s">
        <v>62</v>
      </c>
      <c r="I84" s="28"/>
      <c r="J84" s="28"/>
      <c r="K84" s="28" t="s">
        <v>241</v>
      </c>
      <c r="L84" s="7"/>
    </row>
    <row r="85" ht="79.5" customHeight="1">
      <c r="A85" s="44">
        <v>75.0</v>
      </c>
      <c r="B85" s="26" t="str">
        <f t="shared" si="2"/>
        <v>LOET-RPB-VOB-CPB-0075</v>
      </c>
      <c r="C85" s="28" t="s">
        <v>259</v>
      </c>
      <c r="D85" s="28" t="s">
        <v>260</v>
      </c>
      <c r="E85" s="27" t="s">
        <v>244</v>
      </c>
      <c r="F85" s="28"/>
      <c r="G85" s="30" t="s">
        <v>34</v>
      </c>
      <c r="H85" s="28" t="s">
        <v>62</v>
      </c>
      <c r="I85" s="28"/>
      <c r="J85" s="28"/>
      <c r="K85" s="28" t="s">
        <v>241</v>
      </c>
      <c r="L85" s="7"/>
    </row>
    <row r="86" ht="79.5" customHeight="1">
      <c r="A86" s="44">
        <v>76.0</v>
      </c>
      <c r="B86" s="26" t="str">
        <f t="shared" si="2"/>
        <v>LOET-RPB-VOB-CPB-0076</v>
      </c>
      <c r="C86" s="28" t="s">
        <v>261</v>
      </c>
      <c r="D86" s="28" t="s">
        <v>262</v>
      </c>
      <c r="E86" s="27" t="s">
        <v>263</v>
      </c>
      <c r="F86" s="28"/>
      <c r="G86" s="30" t="s">
        <v>34</v>
      </c>
      <c r="H86" s="28" t="s">
        <v>62</v>
      </c>
      <c r="I86" s="28"/>
      <c r="J86" s="28"/>
      <c r="K86" s="28" t="s">
        <v>264</v>
      </c>
      <c r="L86" s="7"/>
    </row>
    <row r="87" ht="79.5" customHeight="1">
      <c r="A87" s="44">
        <v>77.0</v>
      </c>
      <c r="B87" s="26" t="str">
        <f t="shared" si="2"/>
        <v>LOET-RPB-VOB-CPB-0077</v>
      </c>
      <c r="C87" s="28" t="s">
        <v>265</v>
      </c>
      <c r="D87" s="28" t="s">
        <v>266</v>
      </c>
      <c r="E87" s="27" t="s">
        <v>267</v>
      </c>
      <c r="F87" s="28"/>
      <c r="G87" s="30" t="s">
        <v>34</v>
      </c>
      <c r="H87" s="28" t="s">
        <v>93</v>
      </c>
      <c r="I87" s="28"/>
      <c r="J87" s="28"/>
      <c r="K87" s="28"/>
      <c r="L87" s="7"/>
    </row>
    <row r="88" ht="79.5" customHeight="1">
      <c r="A88" s="44">
        <v>78.0</v>
      </c>
      <c r="B88" s="26" t="str">
        <f t="shared" si="2"/>
        <v>LOET-RPB-VOB-CPB-0078</v>
      </c>
      <c r="C88" s="28" t="s">
        <v>268</v>
      </c>
      <c r="D88" s="28" t="s">
        <v>269</v>
      </c>
      <c r="E88" s="27" t="s">
        <v>270</v>
      </c>
      <c r="F88" s="28"/>
      <c r="G88" s="30" t="s">
        <v>34</v>
      </c>
      <c r="H88" s="28" t="s">
        <v>62</v>
      </c>
      <c r="I88" s="28"/>
      <c r="J88" s="28"/>
      <c r="K88" s="28" t="s">
        <v>271</v>
      </c>
      <c r="L88" s="7"/>
    </row>
    <row r="89" ht="79.5" customHeight="1">
      <c r="A89" s="44">
        <v>79.0</v>
      </c>
      <c r="B89" s="26" t="str">
        <f t="shared" si="2"/>
        <v>LOET-RPB-VOB-CPB-0079</v>
      </c>
      <c r="C89" s="28" t="s">
        <v>272</v>
      </c>
      <c r="D89" s="28" t="s">
        <v>273</v>
      </c>
      <c r="E89" s="27" t="s">
        <v>274</v>
      </c>
      <c r="F89" s="28"/>
      <c r="G89" s="30" t="s">
        <v>34</v>
      </c>
      <c r="H89" s="28" t="s">
        <v>62</v>
      </c>
      <c r="I89" s="28"/>
      <c r="J89" s="28"/>
      <c r="K89" s="28" t="s">
        <v>275</v>
      </c>
      <c r="L89" s="7"/>
    </row>
    <row r="90" ht="79.5" customHeight="1">
      <c r="A90" s="44">
        <v>80.0</v>
      </c>
      <c r="B90" s="26" t="str">
        <f t="shared" si="2"/>
        <v>LOET-RPB-VOB-CPB-0080</v>
      </c>
      <c r="C90" s="28" t="s">
        <v>276</v>
      </c>
      <c r="D90" s="28" t="s">
        <v>277</v>
      </c>
      <c r="E90" s="27" t="s">
        <v>274</v>
      </c>
      <c r="F90" s="28"/>
      <c r="G90" s="30" t="s">
        <v>34</v>
      </c>
      <c r="H90" s="28" t="s">
        <v>93</v>
      </c>
      <c r="I90" s="28"/>
      <c r="J90" s="28"/>
      <c r="K90" s="28"/>
      <c r="L90" s="7"/>
    </row>
    <row r="91" ht="79.5" customHeight="1">
      <c r="A91" s="44">
        <v>81.0</v>
      </c>
      <c r="B91" s="26" t="str">
        <f t="shared" si="2"/>
        <v>LOET-RPB-VOB-CPB-0081</v>
      </c>
      <c r="C91" s="28" t="s">
        <v>278</v>
      </c>
      <c r="D91" s="28" t="s">
        <v>279</v>
      </c>
      <c r="E91" s="27" t="s">
        <v>280</v>
      </c>
      <c r="F91" s="28"/>
      <c r="G91" s="30" t="s">
        <v>34</v>
      </c>
      <c r="H91" s="28" t="s">
        <v>93</v>
      </c>
      <c r="I91" s="28"/>
      <c r="J91" s="28"/>
      <c r="K91" s="28"/>
      <c r="L91" s="7"/>
    </row>
    <row r="92" ht="79.5" customHeight="1">
      <c r="A92" s="44">
        <v>82.0</v>
      </c>
      <c r="B92" s="26" t="str">
        <f t="shared" si="2"/>
        <v>LOET-RPB-VOB-CPB-0082</v>
      </c>
      <c r="C92" s="28" t="s">
        <v>281</v>
      </c>
      <c r="D92" s="28" t="s">
        <v>282</v>
      </c>
      <c r="E92" s="27" t="s">
        <v>280</v>
      </c>
      <c r="F92" s="28"/>
      <c r="G92" s="30" t="s">
        <v>34</v>
      </c>
      <c r="H92" s="28" t="s">
        <v>62</v>
      </c>
      <c r="I92" s="28"/>
      <c r="J92" s="28"/>
      <c r="K92" s="28" t="s">
        <v>283</v>
      </c>
      <c r="L92" s="46"/>
    </row>
    <row r="93" ht="79.5" customHeight="1">
      <c r="A93" s="44">
        <v>83.0</v>
      </c>
      <c r="B93" s="26" t="str">
        <f t="shared" si="2"/>
        <v>LOET-RPB-VOB-CPB-0083</v>
      </c>
      <c r="C93" s="28" t="s">
        <v>284</v>
      </c>
      <c r="D93" s="28" t="s">
        <v>285</v>
      </c>
      <c r="E93" s="27" t="s">
        <v>280</v>
      </c>
      <c r="F93" s="28"/>
      <c r="G93" s="30" t="s">
        <v>34</v>
      </c>
      <c r="H93" s="28" t="s">
        <v>93</v>
      </c>
      <c r="I93" s="28"/>
      <c r="J93" s="28"/>
      <c r="K93" s="28"/>
      <c r="L93" s="46"/>
    </row>
    <row r="94" ht="79.5" customHeight="1">
      <c r="A94" s="44">
        <v>84.0</v>
      </c>
      <c r="B94" s="26" t="str">
        <f t="shared" si="2"/>
        <v>LOET-RPB-VOB-CPB-0084</v>
      </c>
      <c r="C94" s="28" t="s">
        <v>286</v>
      </c>
      <c r="D94" s="28" t="s">
        <v>287</v>
      </c>
      <c r="E94" s="27" t="s">
        <v>280</v>
      </c>
      <c r="F94" s="28"/>
      <c r="G94" s="30" t="s">
        <v>34</v>
      </c>
      <c r="H94" s="28" t="s">
        <v>62</v>
      </c>
      <c r="I94" s="28"/>
      <c r="J94" s="28"/>
      <c r="K94" s="28" t="s">
        <v>288</v>
      </c>
      <c r="L94" s="7"/>
    </row>
    <row r="95" ht="79.5" customHeight="1">
      <c r="A95" s="44">
        <v>85.0</v>
      </c>
      <c r="B95" s="26" t="str">
        <f t="shared" si="2"/>
        <v>LOET-RPB-VOB-CPB-0085</v>
      </c>
      <c r="C95" s="28" t="s">
        <v>289</v>
      </c>
      <c r="D95" s="28" t="s">
        <v>290</v>
      </c>
      <c r="E95" s="27" t="s">
        <v>280</v>
      </c>
      <c r="F95" s="28"/>
      <c r="G95" s="30" t="s">
        <v>34</v>
      </c>
      <c r="H95" s="28" t="s">
        <v>62</v>
      </c>
      <c r="I95" s="28"/>
      <c r="J95" s="28"/>
      <c r="K95" s="28" t="s">
        <v>291</v>
      </c>
      <c r="L95" s="7"/>
    </row>
    <row r="96" ht="79.5" customHeight="1">
      <c r="A96" s="44">
        <v>86.0</v>
      </c>
      <c r="B96" s="26" t="str">
        <f t="shared" si="2"/>
        <v>LOET-RPB-VOB-CPB-0086</v>
      </c>
      <c r="C96" s="28" t="s">
        <v>292</v>
      </c>
      <c r="D96" s="28" t="s">
        <v>293</v>
      </c>
      <c r="E96" s="27" t="s">
        <v>280</v>
      </c>
      <c r="F96" s="28"/>
      <c r="G96" s="30" t="s">
        <v>34</v>
      </c>
      <c r="H96" s="28" t="s">
        <v>93</v>
      </c>
      <c r="I96" s="28"/>
      <c r="J96" s="28"/>
      <c r="K96" s="28"/>
      <c r="L96" s="7"/>
    </row>
    <row r="97" ht="79.5" customHeight="1">
      <c r="A97" s="44">
        <v>87.0</v>
      </c>
      <c r="B97" s="26" t="str">
        <f t="shared" si="2"/>
        <v>LOET-RPB-VOB-CPB-0087</v>
      </c>
      <c r="C97" s="28" t="s">
        <v>294</v>
      </c>
      <c r="D97" s="27" t="s">
        <v>295</v>
      </c>
      <c r="E97" s="27" t="s">
        <v>280</v>
      </c>
      <c r="F97" s="28"/>
      <c r="G97" s="30" t="s">
        <v>34</v>
      </c>
      <c r="H97" s="28" t="s">
        <v>62</v>
      </c>
      <c r="I97" s="28"/>
      <c r="J97" s="28"/>
      <c r="K97" s="28" t="s">
        <v>296</v>
      </c>
      <c r="L97" s="7"/>
    </row>
    <row r="98" ht="79.5" customHeight="1">
      <c r="A98" s="44">
        <v>88.0</v>
      </c>
      <c r="B98" s="26" t="str">
        <f t="shared" si="2"/>
        <v>LOET-RPB-VOB-CPB-0088</v>
      </c>
      <c r="C98" s="37" t="s">
        <v>297</v>
      </c>
      <c r="D98" s="37" t="s">
        <v>298</v>
      </c>
      <c r="E98" s="47" t="s">
        <v>299</v>
      </c>
      <c r="F98" s="28"/>
      <c r="G98" s="38" t="s">
        <v>34</v>
      </c>
      <c r="H98" s="37" t="s">
        <v>62</v>
      </c>
      <c r="I98" s="37"/>
      <c r="J98" s="37"/>
      <c r="K98" s="37" t="s">
        <v>300</v>
      </c>
      <c r="L98" s="7"/>
    </row>
    <row r="99" ht="79.5" customHeight="1">
      <c r="A99" s="44">
        <v>89.0</v>
      </c>
      <c r="B99" s="26" t="str">
        <f t="shared" si="2"/>
        <v>LOET-RPB-VOB-CPB-0089</v>
      </c>
      <c r="C99" s="37" t="s">
        <v>286</v>
      </c>
      <c r="D99" s="45" t="s">
        <v>301</v>
      </c>
      <c r="E99" s="45" t="s">
        <v>280</v>
      </c>
      <c r="F99" s="28"/>
      <c r="G99" s="48" t="s">
        <v>34</v>
      </c>
      <c r="H99" s="37" t="s">
        <v>62</v>
      </c>
      <c r="I99" s="49"/>
      <c r="J99" s="49" t="s">
        <v>302</v>
      </c>
      <c r="K99" s="49"/>
      <c r="L99" s="50"/>
    </row>
    <row r="100" ht="79.5" customHeight="1">
      <c r="A100" s="44">
        <v>90.0</v>
      </c>
      <c r="B100" s="26" t="str">
        <f t="shared" si="2"/>
        <v>LOET-RPB-VOB-CPB-0090</v>
      </c>
      <c r="C100" s="49" t="s">
        <v>303</v>
      </c>
      <c r="D100" s="51" t="s">
        <v>304</v>
      </c>
      <c r="E100" s="27" t="s">
        <v>305</v>
      </c>
      <c r="F100" s="52"/>
      <c r="G100" s="48" t="s">
        <v>34</v>
      </c>
      <c r="H100" s="49" t="s">
        <v>93</v>
      </c>
      <c r="I100" s="49"/>
      <c r="J100" s="49"/>
      <c r="K100" s="49"/>
      <c r="L100" s="50"/>
    </row>
    <row r="101" ht="79.5" customHeight="1">
      <c r="A101" s="44">
        <v>91.0</v>
      </c>
      <c r="B101" s="26" t="str">
        <f t="shared" si="2"/>
        <v>LOET-RPB-VOB-CPB-0091</v>
      </c>
      <c r="C101" s="49" t="s">
        <v>306</v>
      </c>
      <c r="D101" s="49" t="s">
        <v>307</v>
      </c>
      <c r="E101" s="27" t="s">
        <v>308</v>
      </c>
      <c r="F101" s="52"/>
      <c r="G101" s="48" t="s">
        <v>34</v>
      </c>
      <c r="H101" s="49" t="s">
        <v>62</v>
      </c>
      <c r="I101" s="49"/>
      <c r="J101" s="49"/>
      <c r="K101" s="49" t="s">
        <v>309</v>
      </c>
      <c r="L101" s="50"/>
    </row>
    <row r="102" ht="79.5" customHeight="1">
      <c r="A102" s="44">
        <v>92.0</v>
      </c>
      <c r="B102" s="26" t="str">
        <f t="shared" si="2"/>
        <v>LOET-RPB-VOB-CPB-0092</v>
      </c>
      <c r="C102" s="49" t="s">
        <v>310</v>
      </c>
      <c r="D102" s="49" t="s">
        <v>311</v>
      </c>
      <c r="E102" s="27" t="s">
        <v>312</v>
      </c>
      <c r="F102" s="52"/>
      <c r="G102" s="48" t="s">
        <v>34</v>
      </c>
      <c r="H102" s="49" t="s">
        <v>93</v>
      </c>
      <c r="I102" s="49"/>
      <c r="J102" s="49"/>
      <c r="K102" s="49"/>
      <c r="L102" s="50"/>
    </row>
    <row r="103" ht="79.5" customHeight="1">
      <c r="A103" s="44">
        <v>93.0</v>
      </c>
      <c r="B103" s="26" t="str">
        <f t="shared" si="2"/>
        <v>LOET-RPB-VOB-CPB-0093</v>
      </c>
      <c r="C103" s="49" t="s">
        <v>313</v>
      </c>
      <c r="D103" s="49" t="s">
        <v>314</v>
      </c>
      <c r="E103" s="27" t="s">
        <v>315</v>
      </c>
      <c r="F103" s="52"/>
      <c r="G103" s="48" t="s">
        <v>34</v>
      </c>
      <c r="H103" s="49" t="s">
        <v>93</v>
      </c>
      <c r="I103" s="49"/>
      <c r="J103" s="49"/>
      <c r="K103" s="49"/>
      <c r="L103" s="50"/>
    </row>
    <row r="104" ht="79.5" customHeight="1">
      <c r="A104" s="44">
        <v>94.0</v>
      </c>
      <c r="B104" s="26" t="str">
        <f t="shared" si="2"/>
        <v>LOET-RPB-VOB-CPB-0094</v>
      </c>
      <c r="C104" s="28" t="s">
        <v>316</v>
      </c>
      <c r="D104" s="28" t="s">
        <v>317</v>
      </c>
      <c r="E104" s="27" t="s">
        <v>318</v>
      </c>
      <c r="F104" s="28"/>
      <c r="G104" s="30" t="s">
        <v>34</v>
      </c>
      <c r="H104" s="28" t="s">
        <v>62</v>
      </c>
      <c r="I104" s="28"/>
      <c r="J104" s="28"/>
      <c r="K104" s="28" t="s">
        <v>319</v>
      </c>
      <c r="L104" s="50"/>
    </row>
    <row r="105" ht="79.5" customHeight="1">
      <c r="A105" s="44">
        <v>95.0</v>
      </c>
      <c r="B105" s="26" t="str">
        <f t="shared" si="2"/>
        <v>LOET-RPB-VOB-CPB-0095</v>
      </c>
      <c r="C105" s="28" t="s">
        <v>320</v>
      </c>
      <c r="D105" s="28" t="s">
        <v>321</v>
      </c>
      <c r="E105" s="45" t="s">
        <v>322</v>
      </c>
      <c r="F105" s="28"/>
      <c r="G105" s="30" t="s">
        <v>34</v>
      </c>
      <c r="H105" s="28" t="s">
        <v>62</v>
      </c>
      <c r="I105" s="28"/>
      <c r="J105" s="28"/>
      <c r="K105" s="28" t="s">
        <v>323</v>
      </c>
      <c r="L105" s="50"/>
    </row>
    <row r="106" ht="79.5" customHeight="1">
      <c r="A106" s="44">
        <v>96.0</v>
      </c>
      <c r="B106" s="26" t="str">
        <f t="shared" si="2"/>
        <v>LOET-RPB-VOB-CPB-0096</v>
      </c>
      <c r="C106" s="28" t="s">
        <v>324</v>
      </c>
      <c r="D106" s="28" t="s">
        <v>325</v>
      </c>
      <c r="E106" s="45" t="s">
        <v>326</v>
      </c>
      <c r="F106" s="28"/>
      <c r="G106" s="30" t="s">
        <v>34</v>
      </c>
      <c r="H106" s="28" t="s">
        <v>62</v>
      </c>
      <c r="I106" s="28"/>
      <c r="J106" s="28"/>
      <c r="K106" s="28" t="s">
        <v>327</v>
      </c>
      <c r="L106" s="50"/>
    </row>
    <row r="107" ht="79.5" customHeight="1">
      <c r="A107" s="44">
        <v>97.0</v>
      </c>
      <c r="B107" s="26" t="str">
        <f t="shared" si="2"/>
        <v>LOET-RPB-VOB-CPB-0097</v>
      </c>
      <c r="C107" s="37" t="s">
        <v>328</v>
      </c>
      <c r="D107" s="28" t="s">
        <v>325</v>
      </c>
      <c r="E107" s="47" t="s">
        <v>329</v>
      </c>
      <c r="F107" s="28"/>
      <c r="G107" s="38" t="s">
        <v>34</v>
      </c>
      <c r="H107" s="37" t="s">
        <v>62</v>
      </c>
      <c r="I107" s="37"/>
      <c r="J107" s="37"/>
      <c r="K107" s="37" t="s">
        <v>330</v>
      </c>
      <c r="L107" s="50"/>
    </row>
    <row r="108" ht="79.5" customHeight="1">
      <c r="A108" s="44">
        <v>98.0</v>
      </c>
      <c r="B108" s="26" t="str">
        <f t="shared" si="2"/>
        <v>LOET-RPB-VOB-CPB-0098</v>
      </c>
      <c r="C108" s="37" t="s">
        <v>331</v>
      </c>
      <c r="D108" s="28" t="s">
        <v>332</v>
      </c>
      <c r="E108" s="45" t="s">
        <v>57</v>
      </c>
      <c r="F108" s="28"/>
      <c r="G108" s="48" t="s">
        <v>34</v>
      </c>
      <c r="H108" s="37" t="s">
        <v>93</v>
      </c>
      <c r="I108" s="49"/>
      <c r="J108" s="49"/>
      <c r="K108" s="49"/>
      <c r="L108" s="50"/>
    </row>
    <row r="109" ht="79.5" customHeight="1">
      <c r="A109" s="44">
        <v>99.0</v>
      </c>
      <c r="B109" s="26" t="str">
        <f t="shared" si="2"/>
        <v>LOET-RPB-VOB-CPB-0099</v>
      </c>
      <c r="C109" s="37" t="s">
        <v>333</v>
      </c>
      <c r="D109" s="28" t="s">
        <v>334</v>
      </c>
      <c r="E109" s="45" t="s">
        <v>335</v>
      </c>
      <c r="F109" s="28"/>
      <c r="G109" s="48" t="s">
        <v>34</v>
      </c>
      <c r="H109" s="37" t="s">
        <v>62</v>
      </c>
      <c r="I109" s="49"/>
      <c r="J109" s="49"/>
      <c r="K109" s="49" t="s">
        <v>336</v>
      </c>
      <c r="L109" s="50"/>
      <c r="M109" s="7"/>
      <c r="N109" s="7"/>
    </row>
    <row r="110" ht="79.5" customHeight="1">
      <c r="A110" s="44">
        <v>100.0</v>
      </c>
      <c r="B110" s="26" t="str">
        <f t="shared" si="2"/>
        <v>LOET-RPB-VOB-CPB-0100</v>
      </c>
      <c r="C110" s="49" t="s">
        <v>337</v>
      </c>
      <c r="D110" s="28" t="s">
        <v>338</v>
      </c>
      <c r="E110" s="45" t="s">
        <v>335</v>
      </c>
      <c r="F110" s="28"/>
      <c r="G110" s="48" t="s">
        <v>34</v>
      </c>
      <c r="H110" s="37" t="s">
        <v>62</v>
      </c>
      <c r="I110" s="49"/>
      <c r="J110" s="49"/>
      <c r="K110" s="49" t="s">
        <v>339</v>
      </c>
      <c r="L110" s="50"/>
      <c r="M110" s="7"/>
      <c r="N110" s="7"/>
    </row>
    <row r="111" ht="79.5" customHeight="1">
      <c r="A111" s="44">
        <v>101.0</v>
      </c>
      <c r="B111" s="26" t="str">
        <f t="shared" si="2"/>
        <v>LOET-RPB-VOB-CPB-0101</v>
      </c>
      <c r="C111" s="49" t="s">
        <v>340</v>
      </c>
      <c r="D111" s="28" t="s">
        <v>341</v>
      </c>
      <c r="E111" s="45" t="s">
        <v>335</v>
      </c>
      <c r="F111" s="28"/>
      <c r="G111" s="48" t="s">
        <v>34</v>
      </c>
      <c r="H111" s="37" t="s">
        <v>62</v>
      </c>
      <c r="I111" s="49"/>
      <c r="J111" s="49"/>
      <c r="K111" s="49" t="s">
        <v>342</v>
      </c>
      <c r="L111" s="50"/>
      <c r="M111" s="7"/>
      <c r="N111" s="7"/>
    </row>
    <row r="112" ht="79.5" customHeight="1">
      <c r="A112" s="44">
        <v>102.0</v>
      </c>
      <c r="B112" s="26" t="str">
        <f t="shared" si="2"/>
        <v>LOET-RPB-VOB-CPB-0102</v>
      </c>
      <c r="C112" s="49" t="s">
        <v>343</v>
      </c>
      <c r="D112" s="28" t="s">
        <v>344</v>
      </c>
      <c r="E112" s="45" t="s">
        <v>326</v>
      </c>
      <c r="F112" s="52"/>
      <c r="G112" s="48" t="s">
        <v>34</v>
      </c>
      <c r="H112" s="37" t="s">
        <v>62</v>
      </c>
      <c r="I112" s="49"/>
      <c r="J112" s="49"/>
      <c r="K112" s="49" t="s">
        <v>345</v>
      </c>
      <c r="L112" s="50"/>
      <c r="M112" s="7"/>
      <c r="N112" s="7"/>
    </row>
    <row r="113" ht="79.5" customHeight="1">
      <c r="A113" s="53">
        <v>103.0</v>
      </c>
      <c r="B113" s="26" t="str">
        <f t="shared" si="2"/>
        <v>LOET-RPB-VOB-CPB-0103</v>
      </c>
      <c r="C113" s="49" t="s">
        <v>346</v>
      </c>
      <c r="D113" s="49" t="s">
        <v>347</v>
      </c>
      <c r="E113" s="45" t="s">
        <v>335</v>
      </c>
      <c r="F113" s="52"/>
      <c r="G113" s="48" t="s">
        <v>34</v>
      </c>
      <c r="H113" s="49" t="s">
        <v>62</v>
      </c>
      <c r="I113" s="49"/>
      <c r="J113" s="54"/>
      <c r="K113" s="27" t="s">
        <v>348</v>
      </c>
      <c r="L113" s="7"/>
    </row>
    <row r="114" ht="79.5" customHeight="1">
      <c r="A114" s="53">
        <v>104.0</v>
      </c>
      <c r="B114" s="26" t="str">
        <f t="shared" si="2"/>
        <v>LOET-RPB-VOB-CPB-0104</v>
      </c>
      <c r="C114" s="49" t="s">
        <v>349</v>
      </c>
      <c r="D114" s="49" t="s">
        <v>350</v>
      </c>
      <c r="E114" s="45" t="s">
        <v>335</v>
      </c>
      <c r="F114" s="52"/>
      <c r="G114" s="48" t="s">
        <v>34</v>
      </c>
      <c r="H114" s="49" t="s">
        <v>93</v>
      </c>
      <c r="I114" s="49"/>
      <c r="J114" s="55"/>
      <c r="K114" s="36"/>
      <c r="L114" s="7"/>
    </row>
    <row r="115" ht="79.5" customHeight="1">
      <c r="A115" s="53">
        <v>105.0</v>
      </c>
      <c r="B115" s="26" t="str">
        <f t="shared" si="2"/>
        <v>LOET-RPB-VOB-CPB-0105</v>
      </c>
      <c r="C115" s="49" t="s">
        <v>351</v>
      </c>
      <c r="D115" s="49" t="s">
        <v>352</v>
      </c>
      <c r="E115" s="45" t="s">
        <v>57</v>
      </c>
      <c r="F115" s="28"/>
      <c r="G115" s="30" t="s">
        <v>34</v>
      </c>
      <c r="H115" s="49" t="s">
        <v>93</v>
      </c>
      <c r="I115" s="49"/>
      <c r="J115" s="55"/>
      <c r="K115" s="36"/>
      <c r="L115" s="7"/>
    </row>
    <row r="116" ht="79.5" customHeight="1">
      <c r="A116" s="53">
        <v>106.0</v>
      </c>
      <c r="B116" s="26" t="str">
        <f t="shared" si="2"/>
        <v>LOET-RPB-VOB-CPB-0106</v>
      </c>
      <c r="C116" s="49" t="s">
        <v>353</v>
      </c>
      <c r="D116" s="49" t="s">
        <v>354</v>
      </c>
      <c r="E116" s="45" t="s">
        <v>335</v>
      </c>
      <c r="F116" s="34"/>
      <c r="G116" s="30" t="s">
        <v>34</v>
      </c>
      <c r="H116" s="49" t="s">
        <v>93</v>
      </c>
      <c r="I116" s="49"/>
      <c r="J116" s="55"/>
      <c r="K116" s="36"/>
      <c r="L116" s="7"/>
    </row>
    <row r="117" ht="79.5" customHeight="1">
      <c r="A117" s="53">
        <v>107.0</v>
      </c>
      <c r="B117" s="26" t="str">
        <f t="shared" si="2"/>
        <v>LOET-RPB-VOB-CPB-0107</v>
      </c>
      <c r="C117" s="49" t="s">
        <v>355</v>
      </c>
      <c r="D117" s="49" t="s">
        <v>356</v>
      </c>
      <c r="E117" s="45" t="s">
        <v>335</v>
      </c>
      <c r="F117" s="28"/>
      <c r="G117" s="30" t="s">
        <v>34</v>
      </c>
      <c r="H117" s="49" t="s">
        <v>93</v>
      </c>
      <c r="I117" s="49"/>
      <c r="J117" s="55"/>
      <c r="K117" s="36"/>
      <c r="L117" s="7"/>
    </row>
    <row r="118" ht="79.5" customHeight="1">
      <c r="A118" s="56">
        <v>108.0</v>
      </c>
      <c r="B118" s="26" t="str">
        <f t="shared" si="2"/>
        <v>LOET-RPB-VOB-CPB-0108</v>
      </c>
      <c r="C118" s="40" t="s">
        <v>357</v>
      </c>
      <c r="D118" s="40" t="s">
        <v>358</v>
      </c>
      <c r="E118" s="45" t="s">
        <v>57</v>
      </c>
      <c r="F118" s="28"/>
      <c r="G118" s="30" t="s">
        <v>34</v>
      </c>
      <c r="H118" s="49" t="s">
        <v>93</v>
      </c>
      <c r="I118" s="49"/>
      <c r="J118" s="55"/>
      <c r="K118" s="36"/>
      <c r="L118" s="7"/>
    </row>
    <row r="119" ht="79.5" customHeight="1">
      <c r="A119" s="57">
        <v>109.0</v>
      </c>
      <c r="B119" s="26" t="str">
        <f t="shared" si="2"/>
        <v>LOET-RPB-VOB-CPB-0109</v>
      </c>
      <c r="C119" s="49" t="s">
        <v>359</v>
      </c>
      <c r="D119" s="49" t="s">
        <v>360</v>
      </c>
      <c r="E119" s="45" t="s">
        <v>361</v>
      </c>
      <c r="F119" s="55"/>
      <c r="G119" s="58" t="s">
        <v>34</v>
      </c>
      <c r="H119" s="27" t="s">
        <v>93</v>
      </c>
      <c r="I119" s="27"/>
      <c r="J119" s="27"/>
      <c r="K119" s="36"/>
    </row>
    <row r="120" ht="79.5" customHeight="1">
      <c r="A120" s="56">
        <v>110.0</v>
      </c>
      <c r="B120" s="26" t="str">
        <f t="shared" si="2"/>
        <v>LOET-RPB-VOB-CPB-0110</v>
      </c>
      <c r="C120" s="28" t="s">
        <v>362</v>
      </c>
      <c r="D120" s="28" t="s">
        <v>350</v>
      </c>
      <c r="E120" s="45" t="s">
        <v>363</v>
      </c>
      <c r="F120" s="52"/>
      <c r="G120" s="58" t="s">
        <v>34</v>
      </c>
      <c r="H120" s="55" t="s">
        <v>62</v>
      </c>
      <c r="I120" s="55"/>
      <c r="J120" s="27"/>
      <c r="K120" s="27" t="s">
        <v>364</v>
      </c>
    </row>
    <row r="121" ht="79.5" customHeight="1">
      <c r="A121" s="56">
        <v>111.0</v>
      </c>
      <c r="B121" s="26" t="str">
        <f t="shared" si="2"/>
        <v>LOET-RPB-VOB-CPB-0111</v>
      </c>
      <c r="C121" s="28" t="s">
        <v>365</v>
      </c>
      <c r="D121" s="49" t="s">
        <v>366</v>
      </c>
      <c r="E121" s="45" t="s">
        <v>367</v>
      </c>
      <c r="F121" s="55"/>
      <c r="G121" s="58" t="s">
        <v>34</v>
      </c>
      <c r="H121" s="55" t="s">
        <v>93</v>
      </c>
      <c r="I121" s="27"/>
      <c r="J121" s="27"/>
      <c r="K121" s="27"/>
    </row>
    <row r="122" ht="79.5" customHeight="1">
      <c r="A122" s="56">
        <v>112.0</v>
      </c>
      <c r="B122" s="26" t="str">
        <f t="shared" si="2"/>
        <v>LOET-RPB-VOB-CPB-0112</v>
      </c>
      <c r="C122" s="28" t="s">
        <v>368</v>
      </c>
      <c r="D122" s="49" t="s">
        <v>369</v>
      </c>
      <c r="E122" s="45" t="s">
        <v>363</v>
      </c>
      <c r="F122" s="55"/>
      <c r="G122" s="58" t="s">
        <v>34</v>
      </c>
      <c r="H122" s="55" t="s">
        <v>62</v>
      </c>
      <c r="I122" s="27"/>
      <c r="J122" s="27"/>
      <c r="K122" s="27"/>
    </row>
    <row r="123" ht="79.5" customHeight="1">
      <c r="A123" s="56">
        <v>113.0</v>
      </c>
      <c r="B123" s="26" t="str">
        <f t="shared" si="2"/>
        <v>LOET-RPB-VOB-CPB-0113</v>
      </c>
      <c r="C123" s="40" t="s">
        <v>370</v>
      </c>
      <c r="D123" s="40" t="s">
        <v>371</v>
      </c>
      <c r="E123" s="47" t="s">
        <v>372</v>
      </c>
      <c r="F123" s="55"/>
      <c r="G123" s="58" t="s">
        <v>34</v>
      </c>
      <c r="H123" s="55" t="s">
        <v>62</v>
      </c>
      <c r="I123" s="27"/>
      <c r="J123" s="27"/>
      <c r="K123" s="27"/>
    </row>
    <row r="124" ht="79.5" customHeight="1">
      <c r="A124" s="59">
        <v>114.0</v>
      </c>
      <c r="B124" s="26" t="str">
        <f t="shared" si="2"/>
        <v>LOET-RPB-VOB-CPB-0114</v>
      </c>
      <c r="C124" s="28" t="s">
        <v>373</v>
      </c>
      <c r="D124" s="28" t="s">
        <v>374</v>
      </c>
      <c r="E124" s="47" t="s">
        <v>375</v>
      </c>
      <c r="F124" s="55"/>
      <c r="G124" s="58" t="s">
        <v>34</v>
      </c>
      <c r="H124" s="55" t="s">
        <v>62</v>
      </c>
      <c r="I124" s="27"/>
      <c r="J124" s="27"/>
      <c r="K124" s="27"/>
    </row>
    <row r="125" ht="79.5" customHeight="1">
      <c r="A125" s="59">
        <v>115.0</v>
      </c>
      <c r="B125" s="26" t="str">
        <f t="shared" si="2"/>
        <v>LOET-RPB-VOB-CPB-0115</v>
      </c>
      <c r="C125" s="28" t="s">
        <v>215</v>
      </c>
      <c r="D125" s="28" t="s">
        <v>376</v>
      </c>
      <c r="E125" s="45" t="s">
        <v>335</v>
      </c>
      <c r="F125" s="55"/>
      <c r="G125" s="58" t="s">
        <v>34</v>
      </c>
      <c r="H125" s="55" t="s">
        <v>93</v>
      </c>
      <c r="I125" s="27"/>
      <c r="J125" s="27"/>
      <c r="K125" s="27"/>
    </row>
    <row r="126" ht="79.5" customHeight="1">
      <c r="A126" s="57">
        <v>116.0</v>
      </c>
      <c r="B126" s="26" t="str">
        <f t="shared" si="2"/>
        <v>LOET-RPB-VOB-CPB-0116</v>
      </c>
      <c r="C126" s="28" t="s">
        <v>377</v>
      </c>
      <c r="D126" s="28" t="s">
        <v>378</v>
      </c>
      <c r="E126" s="45" t="s">
        <v>335</v>
      </c>
      <c r="F126" s="55"/>
      <c r="G126" s="58" t="s">
        <v>34</v>
      </c>
      <c r="H126" s="55" t="s">
        <v>62</v>
      </c>
      <c r="I126" s="27"/>
      <c r="J126" s="27"/>
      <c r="K126" s="27"/>
    </row>
    <row r="127" ht="79.5" customHeight="1">
      <c r="A127" s="60">
        <v>117.0</v>
      </c>
      <c r="B127" s="26" t="str">
        <f t="shared" si="2"/>
        <v>LOET-RPB-VOB-CPB-0117</v>
      </c>
      <c r="C127" s="27" t="s">
        <v>379</v>
      </c>
      <c r="D127" s="27" t="s">
        <v>380</v>
      </c>
      <c r="E127" s="45" t="s">
        <v>381</v>
      </c>
      <c r="F127" s="39"/>
      <c r="G127" s="61" t="s">
        <v>34</v>
      </c>
      <c r="H127" s="27" t="s">
        <v>93</v>
      </c>
      <c r="I127" s="27"/>
      <c r="J127" s="27"/>
      <c r="K127" s="27"/>
    </row>
    <row r="128" ht="79.5" customHeight="1">
      <c r="A128" s="60">
        <v>118.0</v>
      </c>
      <c r="B128" s="26" t="str">
        <f t="shared" si="2"/>
        <v>LOET-RPB-VOB-CPB-0118</v>
      </c>
      <c r="C128" s="27" t="s">
        <v>382</v>
      </c>
      <c r="D128" s="27" t="s">
        <v>383</v>
      </c>
      <c r="E128" s="45" t="s">
        <v>384</v>
      </c>
      <c r="F128" s="39"/>
      <c r="G128" s="61" t="s">
        <v>34</v>
      </c>
      <c r="H128" s="27" t="s">
        <v>93</v>
      </c>
      <c r="I128" s="27"/>
      <c r="J128" s="27"/>
      <c r="K128" s="27"/>
    </row>
    <row r="129" ht="79.5" customHeight="1">
      <c r="A129" s="60">
        <v>119.0</v>
      </c>
      <c r="B129" s="26" t="str">
        <f t="shared" si="2"/>
        <v>LOET-RPB-VOB-CPB-0119</v>
      </c>
      <c r="C129" s="27" t="s">
        <v>385</v>
      </c>
      <c r="D129" s="27" t="s">
        <v>386</v>
      </c>
      <c r="E129" s="47" t="s">
        <v>387</v>
      </c>
      <c r="F129" s="39"/>
      <c r="G129" s="61" t="s">
        <v>34</v>
      </c>
      <c r="H129" s="27" t="s">
        <v>93</v>
      </c>
      <c r="I129" s="27"/>
      <c r="J129" s="27"/>
      <c r="K129" s="27"/>
    </row>
    <row r="130" ht="79.5" customHeight="1">
      <c r="A130" s="60">
        <v>120.0</v>
      </c>
      <c r="B130" s="26" t="str">
        <f t="shared" si="2"/>
        <v>LOET-RPB-VOB-CPB-0120</v>
      </c>
      <c r="C130" s="27" t="s">
        <v>388</v>
      </c>
      <c r="D130" s="27" t="s">
        <v>389</v>
      </c>
      <c r="E130" s="45" t="s">
        <v>390</v>
      </c>
      <c r="F130" s="39"/>
      <c r="G130" s="61" t="s">
        <v>34</v>
      </c>
      <c r="H130" s="27" t="s">
        <v>93</v>
      </c>
      <c r="I130" s="27"/>
      <c r="J130" s="27"/>
      <c r="K130" s="27"/>
    </row>
    <row r="131" ht="79.5" customHeight="1">
      <c r="A131" s="60">
        <v>121.0</v>
      </c>
      <c r="B131" s="26" t="str">
        <f t="shared" si="2"/>
        <v>LOET-RPB-VOB-CPB-0121</v>
      </c>
      <c r="C131" s="27" t="s">
        <v>391</v>
      </c>
      <c r="D131" s="27" t="s">
        <v>392</v>
      </c>
      <c r="E131" s="62" t="s">
        <v>393</v>
      </c>
      <c r="F131" s="39"/>
      <c r="G131" s="61" t="s">
        <v>34</v>
      </c>
      <c r="H131" s="27" t="s">
        <v>93</v>
      </c>
      <c r="I131" s="27"/>
      <c r="J131" s="27"/>
      <c r="K131" s="27"/>
      <c r="L131" s="39"/>
    </row>
    <row r="132" ht="79.5" customHeight="1">
      <c r="A132" s="60">
        <v>122.0</v>
      </c>
      <c r="B132" s="26" t="str">
        <f t="shared" si="2"/>
        <v>LOET-RPB-VOB-CPB-0122</v>
      </c>
      <c r="C132" s="28" t="s">
        <v>394</v>
      </c>
      <c r="D132" s="28" t="s">
        <v>395</v>
      </c>
      <c r="E132" s="45" t="s">
        <v>393</v>
      </c>
      <c r="F132" s="28"/>
      <c r="G132" s="30" t="s">
        <v>34</v>
      </c>
      <c r="H132" s="28" t="s">
        <v>93</v>
      </c>
      <c r="I132" s="27"/>
      <c r="J132" s="27"/>
      <c r="K132" s="27"/>
      <c r="L132" s="39"/>
    </row>
    <row r="133" ht="79.5" customHeight="1">
      <c r="A133" s="60">
        <v>123.0</v>
      </c>
      <c r="B133" s="26" t="str">
        <f t="shared" si="2"/>
        <v>LOET-RPB-VOB-CPB-0123</v>
      </c>
      <c r="C133" s="28" t="s">
        <v>396</v>
      </c>
      <c r="D133" s="28" t="s">
        <v>397</v>
      </c>
      <c r="E133" s="47" t="s">
        <v>398</v>
      </c>
      <c r="F133" s="28"/>
      <c r="G133" s="30" t="s">
        <v>34</v>
      </c>
      <c r="H133" s="28" t="s">
        <v>93</v>
      </c>
      <c r="I133" s="27"/>
      <c r="J133" s="27"/>
      <c r="K133" s="27"/>
      <c r="L133" s="39"/>
    </row>
    <row r="134" ht="79.5" customHeight="1">
      <c r="A134" s="60">
        <v>124.0</v>
      </c>
      <c r="B134" s="26" t="str">
        <f t="shared" si="2"/>
        <v>LOET-RPB-VOB-CPB-0124</v>
      </c>
      <c r="C134" s="28" t="s">
        <v>399</v>
      </c>
      <c r="D134" s="28" t="s">
        <v>400</v>
      </c>
      <c r="E134" s="45" t="s">
        <v>401</v>
      </c>
      <c r="F134" s="28"/>
      <c r="G134" s="30" t="s">
        <v>34</v>
      </c>
      <c r="H134" s="28" t="s">
        <v>93</v>
      </c>
      <c r="I134" s="27"/>
      <c r="J134" s="27"/>
      <c r="K134" s="27"/>
      <c r="L134" s="39"/>
    </row>
    <row r="135" ht="79.5" customHeight="1">
      <c r="A135" s="60">
        <v>125.0</v>
      </c>
      <c r="B135" s="26" t="str">
        <f t="shared" si="2"/>
        <v>LOET-RPB-VOB-CPB-0125</v>
      </c>
      <c r="C135" s="28" t="s">
        <v>402</v>
      </c>
      <c r="D135" s="28" t="s">
        <v>403</v>
      </c>
      <c r="E135" s="45" t="s">
        <v>401</v>
      </c>
      <c r="F135" s="28"/>
      <c r="G135" s="30" t="s">
        <v>34</v>
      </c>
      <c r="H135" s="28" t="s">
        <v>93</v>
      </c>
      <c r="I135" s="27"/>
      <c r="J135" s="27"/>
      <c r="K135" s="27"/>
      <c r="L135" s="39"/>
    </row>
    <row r="136" ht="79.5" customHeight="1">
      <c r="A136" s="28"/>
      <c r="B136" s="63"/>
      <c r="C136" s="28"/>
      <c r="D136" s="28"/>
      <c r="E136" s="64"/>
      <c r="F136" s="28"/>
      <c r="G136" s="30"/>
      <c r="H136" s="28"/>
      <c r="I136" s="27"/>
      <c r="J136" s="27"/>
      <c r="K136" s="27"/>
      <c r="L136" s="39"/>
    </row>
    <row r="137" ht="79.5" customHeight="1">
      <c r="A137" s="28"/>
      <c r="B137" s="63"/>
      <c r="C137" s="28"/>
      <c r="D137" s="28"/>
      <c r="E137" s="64"/>
      <c r="F137" s="28"/>
      <c r="G137" s="28"/>
      <c r="H137" s="28"/>
      <c r="I137" s="27"/>
      <c r="J137" s="27"/>
      <c r="K137" s="27"/>
      <c r="L137" s="39"/>
    </row>
    <row r="138" ht="15.75" customHeight="1">
      <c r="A138" s="65"/>
      <c r="B138" s="66"/>
      <c r="C138" s="67"/>
      <c r="D138" s="28"/>
      <c r="E138" s="68"/>
      <c r="F138" s="67"/>
      <c r="G138" s="67"/>
      <c r="H138" s="67"/>
      <c r="I138" s="67"/>
      <c r="J138" s="67"/>
      <c r="K138" s="67"/>
    </row>
    <row r="139" ht="15.75" customHeight="1">
      <c r="A139" s="1"/>
      <c r="B139" s="66"/>
      <c r="C139" s="67"/>
      <c r="D139" s="28"/>
      <c r="E139" s="68"/>
      <c r="F139" s="67"/>
      <c r="G139" s="67"/>
      <c r="H139" s="67"/>
      <c r="I139" s="67"/>
      <c r="J139" s="67"/>
      <c r="K139" s="67"/>
    </row>
    <row r="140" ht="15.75" customHeight="1">
      <c r="A140" s="1"/>
      <c r="B140" s="66"/>
      <c r="C140" s="67"/>
      <c r="D140" s="28"/>
      <c r="E140" s="68"/>
      <c r="F140" s="67"/>
      <c r="G140" s="67"/>
      <c r="H140" s="67"/>
      <c r="I140" s="67"/>
      <c r="J140" s="67"/>
      <c r="K140" s="67"/>
    </row>
    <row r="141" ht="15.75" customHeight="1">
      <c r="A141" s="1"/>
      <c r="B141" s="66"/>
      <c r="C141" s="67"/>
      <c r="D141" s="28"/>
      <c r="E141" s="68"/>
      <c r="F141" s="67"/>
      <c r="G141" s="67"/>
      <c r="H141" s="67"/>
      <c r="I141" s="67"/>
      <c r="J141" s="67"/>
      <c r="K141" s="67"/>
    </row>
    <row r="142" ht="15.75" customHeight="1">
      <c r="A142" s="1"/>
      <c r="B142" s="66"/>
      <c r="C142" s="67"/>
      <c r="D142" s="28"/>
      <c r="E142" s="68"/>
      <c r="F142" s="67"/>
      <c r="G142" s="67"/>
      <c r="H142" s="67"/>
      <c r="I142" s="67"/>
      <c r="J142" s="67"/>
      <c r="K142" s="67"/>
    </row>
    <row r="143" ht="15.75" customHeight="1">
      <c r="A143" s="1"/>
      <c r="B143" s="66"/>
      <c r="C143" s="67"/>
      <c r="D143" s="28"/>
      <c r="E143" s="68"/>
      <c r="F143" s="67"/>
      <c r="G143" s="67"/>
      <c r="H143" s="67"/>
      <c r="I143" s="67"/>
      <c r="J143" s="67"/>
      <c r="K143" s="67"/>
    </row>
    <row r="144" ht="15.75" customHeight="1">
      <c r="A144" s="1"/>
      <c r="B144" s="66"/>
      <c r="C144" s="67"/>
      <c r="D144" s="28"/>
      <c r="E144" s="68"/>
      <c r="F144" s="67"/>
      <c r="G144" s="67"/>
      <c r="H144" s="67"/>
      <c r="I144" s="67"/>
      <c r="J144" s="67"/>
      <c r="K144" s="67"/>
    </row>
    <row r="145" ht="15.75" customHeight="1">
      <c r="A145" s="1"/>
      <c r="B145" s="66"/>
      <c r="C145" s="67"/>
      <c r="D145" s="28"/>
      <c r="E145" s="69"/>
      <c r="F145" s="67"/>
      <c r="G145" s="67"/>
      <c r="H145" s="67"/>
      <c r="I145" s="67"/>
      <c r="J145" s="67"/>
      <c r="K145" s="67"/>
    </row>
    <row r="146" ht="15.75" customHeight="1">
      <c r="A146" s="1"/>
      <c r="B146" s="66"/>
      <c r="C146" s="67"/>
      <c r="D146" s="28"/>
      <c r="E146" s="67"/>
      <c r="F146" s="67"/>
      <c r="G146" s="67"/>
      <c r="H146" s="67"/>
      <c r="I146" s="67"/>
      <c r="J146" s="67"/>
      <c r="K146" s="67"/>
    </row>
    <row r="147" ht="15.75" customHeight="1">
      <c r="A147" s="1"/>
      <c r="B147" s="66"/>
      <c r="C147" s="67"/>
      <c r="D147" s="28"/>
      <c r="E147" s="67"/>
      <c r="F147" s="67"/>
      <c r="G147" s="67"/>
      <c r="H147" s="67"/>
      <c r="I147" s="67"/>
      <c r="J147" s="67"/>
      <c r="K147" s="67"/>
    </row>
    <row r="148" ht="15.75" customHeight="1">
      <c r="A148" s="1"/>
      <c r="B148" s="66"/>
      <c r="C148" s="67"/>
      <c r="D148" s="28"/>
      <c r="E148" s="67"/>
      <c r="F148" s="67"/>
      <c r="G148" s="67"/>
      <c r="H148" s="67"/>
      <c r="I148" s="67"/>
      <c r="J148" s="67"/>
      <c r="K148" s="67"/>
    </row>
    <row r="149" ht="15.75" customHeight="1">
      <c r="A149" s="1"/>
      <c r="B149" s="66"/>
      <c r="C149" s="67"/>
      <c r="D149" s="28"/>
      <c r="E149" s="67"/>
      <c r="F149" s="67"/>
      <c r="G149" s="67"/>
      <c r="H149" s="67"/>
      <c r="I149" s="67"/>
      <c r="J149" s="67"/>
      <c r="K149" s="67"/>
    </row>
    <row r="150" ht="15.75" customHeight="1">
      <c r="A150" s="1"/>
      <c r="B150" s="66"/>
      <c r="C150" s="67"/>
      <c r="D150" s="28"/>
      <c r="E150" s="67"/>
      <c r="F150" s="67"/>
      <c r="G150" s="67"/>
      <c r="H150" s="67"/>
      <c r="I150" s="67"/>
      <c r="J150" s="67"/>
      <c r="K150" s="67"/>
    </row>
    <row r="151" ht="15.75" customHeight="1">
      <c r="A151" s="1"/>
      <c r="B151" s="66"/>
      <c r="C151" s="67"/>
      <c r="D151" s="28"/>
      <c r="E151" s="67"/>
      <c r="F151" s="67"/>
      <c r="G151" s="67"/>
      <c r="H151" s="67"/>
      <c r="I151" s="67"/>
      <c r="J151" s="67"/>
      <c r="K151" s="67"/>
    </row>
    <row r="152" ht="15.75" customHeight="1">
      <c r="A152" s="1"/>
      <c r="B152" s="66"/>
      <c r="C152" s="67"/>
      <c r="D152" s="28"/>
      <c r="E152" s="67"/>
      <c r="F152" s="67"/>
      <c r="G152" s="67"/>
      <c r="H152" s="67"/>
      <c r="I152" s="67"/>
      <c r="J152" s="67"/>
      <c r="K152" s="67"/>
    </row>
    <row r="153" ht="15.75" customHeight="1">
      <c r="A153" s="1"/>
      <c r="B153" s="66"/>
      <c r="C153" s="67"/>
      <c r="D153" s="28"/>
      <c r="E153" s="67"/>
      <c r="F153" s="67"/>
      <c r="G153" s="67"/>
      <c r="H153" s="67"/>
      <c r="I153" s="67"/>
      <c r="J153" s="67"/>
      <c r="K153" s="67"/>
    </row>
    <row r="154" ht="15.75" customHeight="1">
      <c r="A154" s="1"/>
      <c r="B154" s="66"/>
      <c r="C154" s="67"/>
      <c r="D154" s="28"/>
      <c r="E154" s="67"/>
      <c r="F154" s="67"/>
      <c r="G154" s="67"/>
      <c r="H154" s="67"/>
      <c r="I154" s="67"/>
      <c r="J154" s="67"/>
      <c r="K154" s="67"/>
    </row>
    <row r="155" ht="15.75" customHeight="1">
      <c r="A155" s="1"/>
      <c r="B155" s="66"/>
      <c r="C155" s="67"/>
      <c r="D155" s="28"/>
      <c r="E155" s="67"/>
      <c r="F155" s="67"/>
      <c r="G155" s="67"/>
      <c r="H155" s="67"/>
      <c r="I155" s="67"/>
      <c r="J155" s="67"/>
      <c r="K155" s="67"/>
    </row>
    <row r="156" ht="15.75" customHeight="1">
      <c r="A156" s="1"/>
      <c r="B156" s="66"/>
      <c r="C156" s="67"/>
      <c r="D156" s="28"/>
      <c r="E156" s="67"/>
      <c r="F156" s="67"/>
      <c r="G156" s="67"/>
      <c r="H156" s="67"/>
      <c r="I156" s="67"/>
      <c r="J156" s="67"/>
      <c r="K156" s="67"/>
    </row>
    <row r="157" ht="15.75" customHeight="1">
      <c r="A157" s="1"/>
      <c r="B157" s="66"/>
      <c r="C157" s="67"/>
      <c r="D157" s="28"/>
      <c r="E157" s="67"/>
      <c r="F157" s="67"/>
      <c r="G157" s="67"/>
      <c r="H157" s="67"/>
      <c r="I157" s="67"/>
      <c r="J157" s="67"/>
      <c r="K157" s="67"/>
    </row>
    <row r="158" ht="15.75" customHeight="1">
      <c r="A158" s="1"/>
      <c r="B158" s="66"/>
      <c r="C158" s="67"/>
      <c r="D158" s="28"/>
      <c r="E158" s="67"/>
      <c r="F158" s="67"/>
      <c r="G158" s="67"/>
      <c r="H158" s="67"/>
      <c r="I158" s="67"/>
      <c r="J158" s="67"/>
      <c r="K158" s="67"/>
    </row>
    <row r="159" ht="15.75" customHeight="1">
      <c r="A159" s="1"/>
      <c r="B159" s="66"/>
      <c r="C159" s="67"/>
      <c r="D159" s="28"/>
      <c r="E159" s="67"/>
      <c r="F159" s="67"/>
      <c r="G159" s="67"/>
      <c r="H159" s="67"/>
      <c r="I159" s="67"/>
      <c r="J159" s="67"/>
      <c r="K159" s="67"/>
    </row>
    <row r="160" ht="15.75" customHeight="1">
      <c r="A160" s="1"/>
      <c r="B160" s="66"/>
      <c r="C160" s="67"/>
      <c r="D160" s="28"/>
      <c r="E160" s="67"/>
      <c r="F160" s="67"/>
      <c r="G160" s="67"/>
      <c r="H160" s="67"/>
      <c r="I160" s="67"/>
      <c r="J160" s="67"/>
      <c r="K160" s="67"/>
    </row>
    <row r="161" ht="15.75" customHeight="1">
      <c r="A161" s="1"/>
      <c r="B161" s="66"/>
      <c r="C161" s="67"/>
      <c r="D161" s="28"/>
      <c r="E161" s="67"/>
      <c r="F161" s="67"/>
      <c r="G161" s="67"/>
      <c r="H161" s="67"/>
      <c r="I161" s="67"/>
      <c r="J161" s="67"/>
      <c r="K161" s="67"/>
    </row>
    <row r="162" ht="15.75" customHeight="1">
      <c r="A162" s="1"/>
      <c r="B162" s="66"/>
      <c r="C162" s="67"/>
      <c r="D162" s="28"/>
      <c r="E162" s="67"/>
      <c r="F162" s="67"/>
      <c r="G162" s="67"/>
      <c r="H162" s="67"/>
      <c r="I162" s="67"/>
      <c r="J162" s="67"/>
      <c r="K162" s="67"/>
    </row>
    <row r="163" ht="15.75" customHeight="1">
      <c r="A163" s="1"/>
      <c r="B163" s="66"/>
      <c r="C163" s="67"/>
      <c r="D163" s="28"/>
      <c r="E163" s="67"/>
      <c r="F163" s="67"/>
      <c r="G163" s="67"/>
      <c r="H163" s="67"/>
      <c r="I163" s="67"/>
      <c r="J163" s="67"/>
      <c r="K163" s="67"/>
    </row>
    <row r="164" ht="15.75" customHeight="1">
      <c r="A164" s="1"/>
      <c r="B164" s="66"/>
      <c r="C164" s="67"/>
      <c r="D164" s="28"/>
      <c r="E164" s="67"/>
      <c r="F164" s="67"/>
      <c r="G164" s="67"/>
      <c r="H164" s="67"/>
      <c r="I164" s="67"/>
      <c r="J164" s="67"/>
      <c r="K164" s="67"/>
    </row>
    <row r="165" ht="15.75" customHeight="1">
      <c r="A165" s="1"/>
      <c r="B165" s="66"/>
      <c r="C165" s="67"/>
      <c r="D165" s="28"/>
      <c r="E165" s="67"/>
      <c r="F165" s="67"/>
      <c r="G165" s="67"/>
      <c r="H165" s="67"/>
      <c r="I165" s="67"/>
      <c r="J165" s="67"/>
      <c r="K165" s="67"/>
    </row>
    <row r="166" ht="15.75" customHeight="1">
      <c r="A166" s="1"/>
      <c r="B166" s="66"/>
      <c r="C166" s="67"/>
      <c r="D166" s="28"/>
      <c r="E166" s="67"/>
      <c r="F166" s="67"/>
      <c r="G166" s="67"/>
      <c r="H166" s="67"/>
      <c r="I166" s="67"/>
      <c r="J166" s="67"/>
      <c r="K166" s="67"/>
    </row>
    <row r="167" ht="15.75" customHeight="1">
      <c r="A167" s="1"/>
      <c r="B167" s="66"/>
      <c r="C167" s="67"/>
      <c r="D167" s="28"/>
      <c r="E167" s="67"/>
      <c r="F167" s="67"/>
      <c r="G167" s="67"/>
      <c r="H167" s="67"/>
      <c r="I167" s="67"/>
      <c r="J167" s="67"/>
      <c r="K167" s="67"/>
    </row>
    <row r="168" ht="15.75" customHeight="1">
      <c r="A168" s="1"/>
      <c r="B168" s="66"/>
      <c r="C168" s="67"/>
      <c r="D168" s="28"/>
      <c r="E168" s="67"/>
      <c r="F168" s="67"/>
      <c r="G168" s="67"/>
      <c r="H168" s="67"/>
      <c r="I168" s="67"/>
      <c r="J168" s="67"/>
      <c r="K168" s="67"/>
    </row>
    <row r="169" ht="15.75" customHeight="1">
      <c r="A169" s="1"/>
      <c r="B169" s="66"/>
      <c r="C169" s="67"/>
      <c r="D169" s="28"/>
      <c r="E169" s="67"/>
      <c r="F169" s="67"/>
      <c r="G169" s="67"/>
      <c r="H169" s="67"/>
      <c r="I169" s="67"/>
      <c r="J169" s="67"/>
      <c r="K169" s="67"/>
    </row>
    <row r="170" ht="15.75" customHeight="1">
      <c r="A170" s="1"/>
      <c r="B170" s="66"/>
      <c r="C170" s="67"/>
      <c r="D170" s="28"/>
      <c r="E170" s="67"/>
      <c r="F170" s="67"/>
      <c r="G170" s="67"/>
      <c r="H170" s="67"/>
      <c r="I170" s="67"/>
      <c r="J170" s="67"/>
      <c r="K170" s="67"/>
    </row>
    <row r="171" ht="15.75" customHeight="1">
      <c r="A171" s="1"/>
      <c r="B171" s="66"/>
      <c r="C171" s="67"/>
      <c r="D171" s="28"/>
      <c r="E171" s="67"/>
      <c r="F171" s="67"/>
      <c r="G171" s="67"/>
      <c r="H171" s="67"/>
      <c r="I171" s="67"/>
      <c r="J171" s="67"/>
      <c r="K171" s="67"/>
    </row>
    <row r="172" ht="15.75" customHeight="1">
      <c r="A172" s="1"/>
      <c r="B172" s="66"/>
      <c r="C172" s="67"/>
      <c r="D172" s="28"/>
      <c r="E172" s="67"/>
      <c r="F172" s="67"/>
      <c r="G172" s="67"/>
      <c r="H172" s="67"/>
      <c r="I172" s="67"/>
      <c r="J172" s="67"/>
      <c r="K172" s="67"/>
    </row>
    <row r="173" ht="15.75" customHeight="1">
      <c r="A173" s="1"/>
      <c r="B173" s="66"/>
      <c r="C173" s="67"/>
      <c r="D173" s="28"/>
      <c r="E173" s="67"/>
      <c r="F173" s="67"/>
      <c r="G173" s="67"/>
      <c r="H173" s="67"/>
      <c r="I173" s="67"/>
      <c r="J173" s="67"/>
      <c r="K173" s="67"/>
    </row>
    <row r="174" ht="15.75" customHeight="1">
      <c r="A174" s="1"/>
      <c r="B174" s="66"/>
      <c r="C174" s="67"/>
      <c r="D174" s="28"/>
      <c r="E174" s="67"/>
      <c r="F174" s="67"/>
      <c r="G174" s="67"/>
      <c r="H174" s="67"/>
      <c r="I174" s="67"/>
      <c r="J174" s="67"/>
      <c r="K174" s="67"/>
    </row>
    <row r="175" ht="15.75" customHeight="1">
      <c r="A175" s="1"/>
      <c r="B175" s="66"/>
      <c r="C175" s="67"/>
      <c r="D175" s="28"/>
      <c r="E175" s="67"/>
      <c r="F175" s="67"/>
      <c r="G175" s="67"/>
      <c r="H175" s="67"/>
      <c r="I175" s="67"/>
      <c r="J175" s="67"/>
      <c r="K175" s="67"/>
    </row>
    <row r="176" ht="15.75" customHeight="1">
      <c r="A176" s="1"/>
      <c r="B176" s="66"/>
      <c r="C176" s="67"/>
      <c r="D176" s="28"/>
      <c r="E176" s="67"/>
      <c r="F176" s="67"/>
      <c r="G176" s="67"/>
      <c r="H176" s="67"/>
      <c r="I176" s="67"/>
      <c r="J176" s="67"/>
      <c r="K176" s="67"/>
    </row>
    <row r="177" ht="15.75" customHeight="1">
      <c r="A177" s="1"/>
      <c r="B177" s="66"/>
      <c r="C177" s="67"/>
      <c r="D177" s="28"/>
      <c r="E177" s="67"/>
      <c r="F177" s="67"/>
      <c r="G177" s="67"/>
      <c r="H177" s="67"/>
      <c r="I177" s="67"/>
      <c r="J177" s="67"/>
      <c r="K177" s="67"/>
    </row>
    <row r="178" ht="15.75" customHeight="1">
      <c r="A178" s="1"/>
      <c r="B178" s="66"/>
      <c r="C178" s="67"/>
      <c r="D178" s="28"/>
      <c r="E178" s="67"/>
      <c r="F178" s="67"/>
      <c r="G178" s="67"/>
      <c r="H178" s="67"/>
      <c r="I178" s="67"/>
      <c r="J178" s="67"/>
      <c r="K178" s="67"/>
    </row>
    <row r="179" ht="15.75" customHeight="1">
      <c r="A179" s="1"/>
      <c r="B179" s="66"/>
      <c r="C179" s="67"/>
      <c r="D179" s="28"/>
      <c r="E179" s="67"/>
      <c r="F179" s="67"/>
      <c r="G179" s="67"/>
      <c r="H179" s="67"/>
      <c r="I179" s="67"/>
      <c r="J179" s="67"/>
      <c r="K179" s="67"/>
    </row>
    <row r="180" ht="15.75" customHeight="1">
      <c r="A180" s="1"/>
      <c r="B180" s="66"/>
      <c r="C180" s="67"/>
      <c r="D180" s="28"/>
      <c r="E180" s="67"/>
      <c r="F180" s="67"/>
      <c r="G180" s="67"/>
      <c r="H180" s="67"/>
      <c r="I180" s="67"/>
      <c r="J180" s="67"/>
      <c r="K180" s="67"/>
    </row>
    <row r="181" ht="15.75" customHeight="1">
      <c r="A181" s="1"/>
      <c r="B181" s="66"/>
      <c r="C181" s="67"/>
      <c r="D181" s="28"/>
      <c r="E181" s="67"/>
      <c r="F181" s="67"/>
      <c r="G181" s="67"/>
      <c r="H181" s="67"/>
      <c r="I181" s="67"/>
      <c r="J181" s="67"/>
      <c r="K181" s="67"/>
    </row>
    <row r="182" ht="15.75" customHeight="1">
      <c r="A182" s="1"/>
      <c r="B182" s="66"/>
      <c r="C182" s="67"/>
      <c r="D182" s="28"/>
      <c r="E182" s="67"/>
      <c r="F182" s="67"/>
      <c r="G182" s="67"/>
      <c r="H182" s="67"/>
      <c r="I182" s="67"/>
      <c r="J182" s="67"/>
      <c r="K182" s="67"/>
    </row>
    <row r="183" ht="15.75" customHeight="1">
      <c r="A183" s="1"/>
      <c r="B183" s="66"/>
      <c r="C183" s="67"/>
      <c r="D183" s="28"/>
      <c r="E183" s="67"/>
      <c r="F183" s="67"/>
      <c r="G183" s="67"/>
      <c r="H183" s="67"/>
      <c r="I183" s="67"/>
      <c r="J183" s="67"/>
      <c r="K183" s="67"/>
    </row>
    <row r="184" ht="15.75" customHeight="1">
      <c r="A184" s="1"/>
      <c r="B184" s="6"/>
      <c r="C184" s="6"/>
      <c r="D184" s="6"/>
      <c r="E184" s="6"/>
      <c r="F184" s="6"/>
      <c r="G184" s="6"/>
      <c r="H184" s="6"/>
      <c r="I184" s="6"/>
      <c r="J184" s="6"/>
      <c r="K184" s="67"/>
    </row>
    <row r="185" ht="15.75" customHeight="1">
      <c r="A185" s="1"/>
      <c r="B185" s="6"/>
      <c r="C185" s="6"/>
      <c r="D185" s="6"/>
      <c r="E185" s="6"/>
      <c r="F185" s="6"/>
      <c r="G185" s="6"/>
      <c r="H185" s="6"/>
      <c r="I185" s="6"/>
      <c r="J185" s="6"/>
      <c r="K185" s="67"/>
    </row>
    <row r="186" ht="15.75" customHeight="1">
      <c r="A186" s="1"/>
      <c r="B186" s="6"/>
      <c r="C186" s="6"/>
      <c r="D186" s="6"/>
      <c r="E186" s="6"/>
      <c r="F186" s="6"/>
      <c r="G186" s="6"/>
      <c r="H186" s="6"/>
      <c r="I186" s="6"/>
      <c r="J186" s="6"/>
      <c r="K186" s="67"/>
    </row>
    <row r="187" ht="15.75" customHeight="1">
      <c r="A187" s="1"/>
      <c r="B187" s="6"/>
      <c r="C187" s="6"/>
      <c r="D187" s="6"/>
      <c r="E187" s="6"/>
      <c r="F187" s="6"/>
      <c r="G187" s="6"/>
      <c r="H187" s="6"/>
      <c r="I187" s="6"/>
      <c r="J187" s="6"/>
      <c r="K187" s="67"/>
    </row>
    <row r="188" ht="15.75" customHeight="1">
      <c r="A188" s="1"/>
      <c r="B188" s="6"/>
      <c r="C188" s="6"/>
      <c r="D188" s="6"/>
      <c r="E188" s="6"/>
      <c r="F188" s="6"/>
      <c r="G188" s="6"/>
      <c r="H188" s="6"/>
      <c r="I188" s="6"/>
      <c r="J188" s="6"/>
      <c r="K188" s="67"/>
    </row>
    <row r="189" ht="15.75" customHeight="1">
      <c r="A189" s="1"/>
      <c r="B189" s="6"/>
      <c r="C189" s="6"/>
      <c r="D189" s="6"/>
      <c r="E189" s="6"/>
      <c r="F189" s="6"/>
      <c r="G189" s="6"/>
      <c r="H189" s="6"/>
      <c r="I189" s="6"/>
      <c r="J189" s="6"/>
      <c r="K189" s="67"/>
    </row>
    <row r="190" ht="15.75" customHeight="1">
      <c r="A190" s="1"/>
      <c r="B190" s="6"/>
      <c r="C190" s="6"/>
      <c r="D190" s="6"/>
      <c r="E190" s="6"/>
      <c r="F190" s="6"/>
      <c r="G190" s="6"/>
      <c r="H190" s="6"/>
      <c r="I190" s="6"/>
      <c r="J190" s="6"/>
      <c r="K190" s="67"/>
    </row>
    <row r="191" ht="15.75" customHeight="1">
      <c r="A191" s="1"/>
      <c r="B191" s="6"/>
      <c r="C191" s="6"/>
      <c r="D191" s="6"/>
      <c r="E191" s="6"/>
      <c r="F191" s="6"/>
      <c r="G191" s="6"/>
      <c r="H191" s="6"/>
      <c r="I191" s="6"/>
      <c r="J191" s="6"/>
      <c r="K191" s="67"/>
    </row>
    <row r="192" ht="15.75" customHeight="1">
      <c r="A192" s="1"/>
      <c r="B192" s="6"/>
      <c r="C192" s="6"/>
      <c r="D192" s="6"/>
      <c r="E192" s="6"/>
      <c r="F192" s="6"/>
      <c r="G192" s="6"/>
      <c r="H192" s="6"/>
      <c r="I192" s="6"/>
      <c r="J192" s="6"/>
      <c r="K192" s="67"/>
    </row>
    <row r="193" ht="15.75" customHeight="1">
      <c r="A193" s="1"/>
      <c r="B193" s="6"/>
      <c r="C193" s="6"/>
      <c r="D193" s="6"/>
      <c r="E193" s="6"/>
      <c r="F193" s="6"/>
      <c r="G193" s="6"/>
      <c r="H193" s="6"/>
      <c r="I193" s="6"/>
      <c r="J193" s="6"/>
      <c r="K193" s="67"/>
    </row>
    <row r="194" ht="15.75" customHeight="1">
      <c r="A194" s="1"/>
      <c r="B194" s="6"/>
      <c r="C194" s="6"/>
      <c r="D194" s="6"/>
      <c r="E194" s="6"/>
      <c r="F194" s="6"/>
      <c r="G194" s="6"/>
      <c r="H194" s="6"/>
      <c r="I194" s="6"/>
      <c r="J194" s="6"/>
      <c r="K194" s="67"/>
      <c r="L194" s="7"/>
      <c r="M194" s="7"/>
      <c r="N194" s="7"/>
    </row>
    <row r="195" ht="15.75" customHeight="1">
      <c r="A195" s="1"/>
      <c r="B195" s="6"/>
      <c r="C195" s="6"/>
      <c r="D195" s="6"/>
      <c r="E195" s="6"/>
      <c r="F195" s="6"/>
      <c r="G195" s="6"/>
      <c r="H195" s="6"/>
      <c r="I195" s="6"/>
      <c r="J195" s="6"/>
      <c r="K195" s="67"/>
      <c r="L195" s="7"/>
      <c r="M195" s="7"/>
      <c r="N195" s="7"/>
    </row>
    <row r="196" ht="15.75" customHeight="1">
      <c r="A196" s="1"/>
      <c r="B196" s="6"/>
      <c r="C196" s="6"/>
      <c r="D196" s="6"/>
      <c r="E196" s="6"/>
      <c r="F196" s="6"/>
      <c r="G196" s="6"/>
      <c r="H196" s="6"/>
      <c r="I196" s="6"/>
      <c r="J196" s="6"/>
      <c r="K196" s="67"/>
      <c r="L196" s="7"/>
      <c r="M196" s="7"/>
      <c r="N196" s="7"/>
    </row>
    <row r="197" ht="15.75" customHeight="1">
      <c r="A197" s="1"/>
      <c r="B197" s="6"/>
      <c r="C197" s="6"/>
      <c r="D197" s="6"/>
      <c r="E197" s="6"/>
      <c r="F197" s="6"/>
      <c r="G197" s="6"/>
      <c r="H197" s="6"/>
      <c r="I197" s="6"/>
      <c r="J197" s="6"/>
      <c r="K197" s="67"/>
      <c r="L197" s="7"/>
      <c r="M197" s="7"/>
      <c r="N197" s="7"/>
    </row>
    <row r="198" ht="15.75" customHeight="1">
      <c r="A198" s="1"/>
      <c r="B198" s="6"/>
      <c r="C198" s="6"/>
      <c r="D198" s="6"/>
      <c r="E198" s="6"/>
      <c r="F198" s="6"/>
      <c r="G198" s="6"/>
      <c r="H198" s="6"/>
      <c r="I198" s="6"/>
      <c r="J198" s="6"/>
      <c r="K198" s="67"/>
      <c r="L198" s="7"/>
      <c r="M198" s="7"/>
      <c r="N198" s="7"/>
    </row>
    <row r="199" ht="15.75" customHeight="1">
      <c r="A199" s="1"/>
      <c r="B199" s="6"/>
      <c r="C199" s="6"/>
      <c r="D199" s="6"/>
      <c r="E199" s="6"/>
      <c r="F199" s="6"/>
      <c r="G199" s="6"/>
      <c r="H199" s="6"/>
      <c r="I199" s="6"/>
      <c r="J199" s="6"/>
      <c r="K199" s="67"/>
      <c r="L199" s="7"/>
      <c r="M199" s="7"/>
      <c r="N199" s="7"/>
    </row>
    <row r="200" ht="15.75" customHeight="1">
      <c r="A200" s="1"/>
      <c r="B200" s="6"/>
      <c r="C200" s="6"/>
      <c r="D200" s="6"/>
      <c r="E200" s="6"/>
      <c r="F200" s="6"/>
      <c r="G200" s="6"/>
      <c r="H200" s="6"/>
      <c r="I200" s="6"/>
      <c r="J200" s="6"/>
      <c r="K200" s="67"/>
      <c r="L200" s="7"/>
      <c r="M200" s="7"/>
      <c r="N200" s="7"/>
    </row>
    <row r="201" ht="15.75" customHeight="1">
      <c r="A201" s="1"/>
      <c r="B201" s="6"/>
      <c r="C201" s="6"/>
      <c r="D201" s="6"/>
      <c r="E201" s="6"/>
      <c r="F201" s="6"/>
      <c r="G201" s="6"/>
      <c r="H201" s="6"/>
      <c r="I201" s="6"/>
      <c r="J201" s="6"/>
      <c r="K201" s="67"/>
      <c r="L201" s="7"/>
      <c r="M201" s="7"/>
      <c r="N201" s="7"/>
    </row>
    <row r="202" ht="15.75" customHeight="1">
      <c r="A202" s="1"/>
      <c r="B202" s="6"/>
      <c r="C202" s="6"/>
      <c r="D202" s="6"/>
      <c r="E202" s="6"/>
      <c r="F202" s="6"/>
      <c r="G202" s="6"/>
      <c r="H202" s="6"/>
      <c r="I202" s="6"/>
      <c r="J202" s="6"/>
      <c r="K202" s="67"/>
      <c r="L202" s="7"/>
      <c r="M202" s="7"/>
      <c r="N202" s="7"/>
    </row>
    <row r="203" ht="15.75" customHeight="1">
      <c r="A203" s="1"/>
      <c r="B203" s="6"/>
      <c r="C203" s="6"/>
      <c r="D203" s="6"/>
      <c r="E203" s="6"/>
      <c r="F203" s="6"/>
      <c r="G203" s="6"/>
      <c r="H203" s="6"/>
      <c r="I203" s="6"/>
      <c r="J203" s="6"/>
      <c r="K203" s="67"/>
      <c r="L203" s="7"/>
      <c r="M203" s="7"/>
      <c r="N203" s="7"/>
    </row>
    <row r="204" ht="15.75" customHeight="1">
      <c r="A204" s="1"/>
      <c r="B204" s="6"/>
      <c r="C204" s="6"/>
      <c r="D204" s="6"/>
      <c r="E204" s="6"/>
      <c r="F204" s="6"/>
      <c r="G204" s="6"/>
      <c r="H204" s="6"/>
      <c r="I204" s="6"/>
      <c r="J204" s="6"/>
      <c r="K204" s="67"/>
      <c r="L204" s="7"/>
      <c r="M204" s="7"/>
      <c r="N204" s="7"/>
    </row>
    <row r="205" ht="15.75" customHeight="1">
      <c r="A205" s="1"/>
      <c r="B205" s="6"/>
      <c r="C205" s="6"/>
      <c r="D205" s="6"/>
      <c r="E205" s="6"/>
      <c r="F205" s="6"/>
      <c r="G205" s="6"/>
      <c r="H205" s="6"/>
      <c r="I205" s="6"/>
      <c r="J205" s="6"/>
      <c r="K205" s="67"/>
      <c r="L205" s="7"/>
      <c r="M205" s="7"/>
      <c r="N205" s="7"/>
    </row>
    <row r="206" ht="15.75" customHeight="1">
      <c r="A206" s="1"/>
      <c r="B206" s="6"/>
      <c r="C206" s="6"/>
      <c r="D206" s="6"/>
      <c r="E206" s="6"/>
      <c r="F206" s="6"/>
      <c r="G206" s="6"/>
      <c r="H206" s="6"/>
      <c r="I206" s="6"/>
      <c r="J206" s="6"/>
      <c r="K206" s="67"/>
      <c r="L206" s="7"/>
      <c r="M206" s="7"/>
      <c r="N206" s="7"/>
    </row>
    <row r="207" ht="15.75" customHeight="1">
      <c r="A207" s="1"/>
      <c r="B207" s="6"/>
      <c r="C207" s="6"/>
      <c r="D207" s="6"/>
      <c r="E207" s="6"/>
      <c r="F207" s="6"/>
      <c r="G207" s="6"/>
      <c r="H207" s="6"/>
      <c r="I207" s="6"/>
      <c r="J207" s="6"/>
      <c r="K207" s="67"/>
      <c r="L207" s="7"/>
      <c r="M207" s="7"/>
      <c r="N207" s="7"/>
    </row>
    <row r="208" ht="15.75" customHeight="1">
      <c r="A208" s="1"/>
      <c r="B208" s="6"/>
      <c r="C208" s="6"/>
      <c r="D208" s="6"/>
      <c r="E208" s="6"/>
      <c r="F208" s="6"/>
      <c r="G208" s="6"/>
      <c r="H208" s="6"/>
      <c r="I208" s="6"/>
      <c r="J208" s="6"/>
      <c r="K208" s="67"/>
      <c r="L208" s="7"/>
      <c r="M208" s="7"/>
      <c r="N208" s="7"/>
    </row>
    <row r="209" ht="15.75" customHeight="1">
      <c r="A209" s="1"/>
      <c r="B209" s="6"/>
      <c r="C209" s="6"/>
      <c r="D209" s="6"/>
      <c r="E209" s="6"/>
      <c r="F209" s="6"/>
      <c r="G209" s="6"/>
      <c r="H209" s="6"/>
      <c r="I209" s="6"/>
      <c r="J209" s="6"/>
      <c r="K209" s="67"/>
      <c r="L209" s="7"/>
      <c r="M209" s="7"/>
      <c r="N209" s="7"/>
    </row>
    <row r="210" ht="15.75" customHeight="1">
      <c r="A210" s="1"/>
      <c r="B210" s="6"/>
      <c r="C210" s="6"/>
      <c r="D210" s="6"/>
      <c r="E210" s="6"/>
      <c r="F210" s="6"/>
      <c r="G210" s="6"/>
      <c r="H210" s="6"/>
      <c r="I210" s="6"/>
      <c r="J210" s="6"/>
      <c r="K210" s="67"/>
      <c r="L210" s="7"/>
      <c r="M210" s="7"/>
      <c r="N210" s="7"/>
    </row>
    <row r="211" ht="15.75" customHeight="1">
      <c r="A211" s="1"/>
      <c r="B211" s="6"/>
      <c r="C211" s="6"/>
      <c r="D211" s="6"/>
      <c r="E211" s="6"/>
      <c r="F211" s="6"/>
      <c r="G211" s="6"/>
      <c r="H211" s="6"/>
      <c r="I211" s="6"/>
      <c r="J211" s="6"/>
      <c r="K211" s="67"/>
      <c r="L211" s="7"/>
      <c r="M211" s="7"/>
      <c r="N211" s="7"/>
    </row>
    <row r="212" ht="15.75" customHeight="1">
      <c r="A212" s="1"/>
      <c r="B212" s="6"/>
      <c r="C212" s="6"/>
      <c r="D212" s="6"/>
      <c r="E212" s="6"/>
      <c r="F212" s="6"/>
      <c r="G212" s="6"/>
      <c r="H212" s="6"/>
      <c r="I212" s="6"/>
      <c r="J212" s="6"/>
      <c r="K212" s="67"/>
      <c r="L212" s="7"/>
      <c r="M212" s="7"/>
      <c r="N212" s="7"/>
    </row>
    <row r="213" ht="15.75" customHeight="1">
      <c r="A213" s="1"/>
      <c r="B213" s="6"/>
      <c r="C213" s="6"/>
      <c r="D213" s="6"/>
      <c r="E213" s="6"/>
      <c r="F213" s="6"/>
      <c r="G213" s="6"/>
      <c r="H213" s="6"/>
      <c r="I213" s="6"/>
      <c r="J213" s="6"/>
      <c r="K213" s="67"/>
      <c r="L213" s="7"/>
      <c r="M213" s="7"/>
      <c r="N213" s="7"/>
    </row>
    <row r="214" ht="15.75" customHeight="1">
      <c r="A214" s="1"/>
      <c r="B214" s="6"/>
      <c r="C214" s="6"/>
      <c r="D214" s="6"/>
      <c r="E214" s="6"/>
      <c r="F214" s="6"/>
      <c r="G214" s="6"/>
      <c r="H214" s="6"/>
      <c r="I214" s="6"/>
      <c r="J214" s="6"/>
      <c r="K214" s="67"/>
      <c r="L214" s="7"/>
      <c r="M214" s="7"/>
      <c r="N214" s="7"/>
    </row>
    <row r="215" ht="15.75" customHeight="1">
      <c r="A215" s="1"/>
      <c r="B215" s="6"/>
      <c r="C215" s="6"/>
      <c r="D215" s="6"/>
      <c r="E215" s="6"/>
      <c r="F215" s="6"/>
      <c r="G215" s="6"/>
      <c r="H215" s="6"/>
      <c r="I215" s="6"/>
      <c r="J215" s="6"/>
      <c r="K215" s="67"/>
      <c r="L215" s="7"/>
      <c r="M215" s="7"/>
      <c r="N215" s="7"/>
    </row>
    <row r="216" ht="15.75" customHeight="1">
      <c r="A216" s="1"/>
      <c r="B216" s="6"/>
      <c r="C216" s="6"/>
      <c r="D216" s="6"/>
      <c r="E216" s="6"/>
      <c r="F216" s="6"/>
      <c r="G216" s="6"/>
      <c r="H216" s="6"/>
      <c r="I216" s="6"/>
      <c r="J216" s="6"/>
      <c r="K216" s="67"/>
      <c r="L216" s="7"/>
      <c r="M216" s="7"/>
      <c r="N216" s="7"/>
    </row>
    <row r="217" ht="15.75" customHeight="1">
      <c r="A217" s="1"/>
      <c r="B217" s="6"/>
      <c r="C217" s="6"/>
      <c r="D217" s="6"/>
      <c r="E217" s="6"/>
      <c r="F217" s="6"/>
      <c r="G217" s="6"/>
      <c r="H217" s="6"/>
      <c r="I217" s="6"/>
      <c r="J217" s="6"/>
      <c r="K217" s="67"/>
      <c r="L217" s="7"/>
      <c r="M217" s="7"/>
      <c r="N217" s="7"/>
    </row>
    <row r="218" ht="15.75" customHeight="1">
      <c r="A218" s="1"/>
      <c r="B218" s="6"/>
      <c r="C218" s="6"/>
      <c r="D218" s="6"/>
      <c r="E218" s="6"/>
      <c r="F218" s="6"/>
      <c r="G218" s="6"/>
      <c r="H218" s="6"/>
      <c r="I218" s="6"/>
      <c r="J218" s="6"/>
      <c r="K218" s="67"/>
      <c r="L218" s="7"/>
      <c r="M218" s="7"/>
      <c r="N218" s="7"/>
    </row>
    <row r="219" ht="15.75" customHeight="1">
      <c r="A219" s="1"/>
      <c r="B219" s="6"/>
      <c r="C219" s="6"/>
      <c r="D219" s="6"/>
      <c r="E219" s="6"/>
      <c r="F219" s="6"/>
      <c r="G219" s="6"/>
      <c r="H219" s="6"/>
      <c r="I219" s="6"/>
      <c r="J219" s="6"/>
      <c r="K219" s="67"/>
      <c r="L219" s="7"/>
      <c r="M219" s="7"/>
      <c r="N219" s="7"/>
    </row>
    <row r="220" ht="15.75" customHeight="1">
      <c r="A220" s="1"/>
      <c r="B220" s="6"/>
      <c r="C220" s="6"/>
      <c r="D220" s="6"/>
      <c r="E220" s="6"/>
      <c r="F220" s="6"/>
      <c r="G220" s="6"/>
      <c r="H220" s="6"/>
      <c r="I220" s="6"/>
      <c r="J220" s="6"/>
      <c r="K220" s="67"/>
      <c r="L220" s="7"/>
      <c r="M220" s="7"/>
      <c r="N220" s="7"/>
    </row>
    <row r="221" ht="15.75" customHeight="1">
      <c r="A221" s="1"/>
      <c r="B221" s="6"/>
      <c r="C221" s="6"/>
      <c r="D221" s="6"/>
      <c r="E221" s="6"/>
      <c r="F221" s="6"/>
      <c r="G221" s="6"/>
      <c r="H221" s="6"/>
      <c r="I221" s="6"/>
      <c r="J221" s="6"/>
      <c r="K221" s="67"/>
      <c r="L221" s="7"/>
      <c r="M221" s="7"/>
      <c r="N221" s="7"/>
    </row>
    <row r="222" ht="15.75" customHeight="1">
      <c r="A222" s="1"/>
      <c r="B222" s="6"/>
      <c r="C222" s="6"/>
      <c r="D222" s="6"/>
      <c r="E222" s="6"/>
      <c r="F222" s="6"/>
      <c r="G222" s="6"/>
      <c r="H222" s="6"/>
      <c r="I222" s="6"/>
      <c r="J222" s="6"/>
      <c r="K222" s="67"/>
      <c r="L222" s="7"/>
      <c r="M222" s="7"/>
      <c r="N222" s="7"/>
    </row>
    <row r="223" ht="15.75" customHeight="1">
      <c r="A223" s="1"/>
      <c r="B223" s="6"/>
      <c r="C223" s="6"/>
      <c r="D223" s="6"/>
      <c r="E223" s="6"/>
      <c r="F223" s="6"/>
      <c r="G223" s="6"/>
      <c r="H223" s="6"/>
      <c r="I223" s="6"/>
      <c r="J223" s="6"/>
      <c r="K223" s="67"/>
      <c r="L223" s="7"/>
      <c r="M223" s="7"/>
      <c r="N223" s="7"/>
    </row>
    <row r="224" ht="15.75" customHeight="1">
      <c r="A224" s="1"/>
      <c r="B224" s="6"/>
      <c r="C224" s="6"/>
      <c r="D224" s="6"/>
      <c r="E224" s="6"/>
      <c r="F224" s="6"/>
      <c r="G224" s="6"/>
      <c r="H224" s="6"/>
      <c r="I224" s="6"/>
      <c r="J224" s="6"/>
      <c r="K224" s="67"/>
      <c r="L224" s="7"/>
      <c r="M224" s="7"/>
      <c r="N224" s="7"/>
    </row>
    <row r="225" ht="15.75" customHeight="1">
      <c r="A225" s="1"/>
      <c r="B225" s="6"/>
      <c r="C225" s="6"/>
      <c r="D225" s="6"/>
      <c r="E225" s="6"/>
      <c r="F225" s="6"/>
      <c r="G225" s="6"/>
      <c r="H225" s="6"/>
      <c r="I225" s="6"/>
      <c r="J225" s="6"/>
      <c r="K225" s="67"/>
      <c r="L225" s="7"/>
      <c r="M225" s="7"/>
      <c r="N225" s="7"/>
    </row>
    <row r="226" ht="15.75" customHeight="1">
      <c r="A226" s="1"/>
      <c r="B226" s="6"/>
      <c r="C226" s="6"/>
      <c r="D226" s="6"/>
      <c r="E226" s="6"/>
      <c r="F226" s="6"/>
      <c r="G226" s="6"/>
      <c r="H226" s="6"/>
      <c r="I226" s="6"/>
      <c r="J226" s="6"/>
      <c r="K226" s="67"/>
      <c r="L226" s="7"/>
      <c r="M226" s="7"/>
      <c r="N226" s="7"/>
    </row>
    <row r="227" ht="15.75" customHeight="1">
      <c r="A227" s="1"/>
      <c r="B227" s="6"/>
      <c r="C227" s="6"/>
      <c r="D227" s="6"/>
      <c r="E227" s="6"/>
      <c r="F227" s="6"/>
      <c r="G227" s="6"/>
      <c r="H227" s="6"/>
      <c r="I227" s="6"/>
      <c r="J227" s="6"/>
      <c r="K227" s="67"/>
      <c r="L227" s="7"/>
      <c r="M227" s="7"/>
      <c r="N227" s="7"/>
    </row>
    <row r="228" ht="15.75" customHeight="1">
      <c r="A228" s="1"/>
      <c r="B228" s="6"/>
      <c r="C228" s="6"/>
      <c r="D228" s="6"/>
      <c r="E228" s="6"/>
      <c r="F228" s="6"/>
      <c r="G228" s="6"/>
      <c r="H228" s="6"/>
      <c r="I228" s="6"/>
      <c r="J228" s="6"/>
      <c r="K228" s="67"/>
      <c r="L228" s="7"/>
      <c r="M228" s="7"/>
      <c r="N228" s="7"/>
    </row>
    <row r="229" ht="15.75" customHeight="1">
      <c r="A229" s="1"/>
      <c r="B229" s="6"/>
      <c r="C229" s="6"/>
      <c r="D229" s="6"/>
      <c r="E229" s="6"/>
      <c r="F229" s="6"/>
      <c r="G229" s="6"/>
      <c r="H229" s="6"/>
      <c r="I229" s="6"/>
      <c r="J229" s="6"/>
      <c r="K229" s="67"/>
      <c r="L229" s="7"/>
      <c r="M229" s="7"/>
      <c r="N229" s="7"/>
    </row>
    <row r="230" ht="15.75" customHeight="1">
      <c r="A230" s="1"/>
      <c r="B230" s="6"/>
      <c r="C230" s="6"/>
      <c r="D230" s="6"/>
      <c r="E230" s="6"/>
      <c r="F230" s="6"/>
      <c r="G230" s="6"/>
      <c r="H230" s="6"/>
      <c r="I230" s="6"/>
      <c r="J230" s="6"/>
      <c r="K230" s="67"/>
      <c r="L230" s="7"/>
      <c r="M230" s="7"/>
      <c r="N230" s="7"/>
    </row>
    <row r="231" ht="15.75" customHeight="1">
      <c r="A231" s="1"/>
      <c r="B231" s="6"/>
      <c r="C231" s="6"/>
      <c r="D231" s="6"/>
      <c r="E231" s="6"/>
      <c r="F231" s="6"/>
      <c r="G231" s="6"/>
      <c r="H231" s="6"/>
      <c r="I231" s="6"/>
      <c r="J231" s="6"/>
      <c r="K231" s="67"/>
      <c r="L231" s="7"/>
      <c r="M231" s="7"/>
      <c r="N231" s="7"/>
    </row>
    <row r="232" ht="15.75" customHeight="1">
      <c r="A232" s="1"/>
      <c r="B232" s="6"/>
      <c r="C232" s="6"/>
      <c r="D232" s="6"/>
      <c r="E232" s="6"/>
      <c r="F232" s="6"/>
      <c r="G232" s="6"/>
      <c r="H232" s="6"/>
      <c r="I232" s="6"/>
      <c r="J232" s="6"/>
      <c r="K232" s="67"/>
      <c r="L232" s="7"/>
      <c r="M232" s="7"/>
      <c r="N232" s="7"/>
    </row>
    <row r="233" ht="15.75" customHeight="1">
      <c r="A233" s="1"/>
      <c r="B233" s="6"/>
      <c r="C233" s="6"/>
      <c r="D233" s="6"/>
      <c r="E233" s="6"/>
      <c r="F233" s="6"/>
      <c r="G233" s="6"/>
      <c r="H233" s="6"/>
      <c r="I233" s="6"/>
      <c r="J233" s="6"/>
      <c r="K233" s="67"/>
      <c r="L233" s="7"/>
      <c r="M233" s="7"/>
      <c r="N233" s="7"/>
    </row>
    <row r="234" ht="15.75" customHeight="1">
      <c r="A234" s="1"/>
      <c r="B234" s="6"/>
      <c r="C234" s="6"/>
      <c r="D234" s="6"/>
      <c r="E234" s="6"/>
      <c r="F234" s="6"/>
      <c r="G234" s="6"/>
      <c r="H234" s="6"/>
      <c r="I234" s="6"/>
      <c r="J234" s="6"/>
      <c r="K234" s="67"/>
      <c r="L234" s="7"/>
      <c r="M234" s="7"/>
      <c r="N234" s="7"/>
    </row>
    <row r="235" ht="15.75" customHeight="1">
      <c r="A235" s="1"/>
      <c r="B235" s="6"/>
      <c r="C235" s="6"/>
      <c r="D235" s="6"/>
      <c r="E235" s="6"/>
      <c r="F235" s="6"/>
      <c r="G235" s="6"/>
      <c r="H235" s="6"/>
      <c r="I235" s="6"/>
      <c r="J235" s="6"/>
      <c r="K235" s="67"/>
      <c r="L235" s="7"/>
      <c r="M235" s="7"/>
      <c r="N235" s="7"/>
    </row>
    <row r="236" ht="15.75" customHeight="1">
      <c r="A236" s="1"/>
      <c r="B236" s="6"/>
      <c r="C236" s="6"/>
      <c r="D236" s="6"/>
      <c r="E236" s="6"/>
      <c r="F236" s="6"/>
      <c r="G236" s="6"/>
      <c r="H236" s="6"/>
      <c r="I236" s="6"/>
      <c r="J236" s="6"/>
      <c r="K236" s="67"/>
      <c r="L236" s="7"/>
      <c r="M236" s="7"/>
      <c r="N236" s="7"/>
    </row>
    <row r="237" ht="15.75" customHeight="1">
      <c r="A237" s="1"/>
      <c r="B237" s="6"/>
      <c r="C237" s="6"/>
      <c r="D237" s="6"/>
      <c r="E237" s="6"/>
      <c r="F237" s="6"/>
      <c r="G237" s="6"/>
      <c r="H237" s="6"/>
      <c r="I237" s="6"/>
      <c r="J237" s="6"/>
      <c r="K237" s="67"/>
      <c r="L237" s="7"/>
      <c r="M237" s="7"/>
      <c r="N237" s="7"/>
    </row>
    <row r="238" ht="15.75" customHeight="1">
      <c r="A238" s="1"/>
      <c r="B238" s="6"/>
      <c r="C238" s="6"/>
      <c r="D238" s="6"/>
      <c r="E238" s="6"/>
      <c r="F238" s="6"/>
      <c r="G238" s="6"/>
      <c r="H238" s="6"/>
      <c r="I238" s="6"/>
      <c r="J238" s="6"/>
      <c r="K238" s="67"/>
      <c r="L238" s="7"/>
      <c r="M238" s="7"/>
      <c r="N238" s="7"/>
    </row>
    <row r="239" ht="15.75" customHeight="1">
      <c r="A239" s="1"/>
      <c r="B239" s="6"/>
      <c r="C239" s="6"/>
      <c r="D239" s="6"/>
      <c r="E239" s="6"/>
      <c r="F239" s="6"/>
      <c r="G239" s="6"/>
      <c r="H239" s="6"/>
      <c r="I239" s="6"/>
      <c r="J239" s="6"/>
      <c r="K239" s="67"/>
      <c r="L239" s="7"/>
      <c r="M239" s="7"/>
      <c r="N239" s="7"/>
    </row>
    <row r="240" ht="15.75" customHeight="1">
      <c r="A240" s="1"/>
      <c r="B240" s="6"/>
      <c r="C240" s="6"/>
      <c r="D240" s="6"/>
      <c r="E240" s="6"/>
      <c r="F240" s="6"/>
      <c r="G240" s="6"/>
      <c r="H240" s="6"/>
      <c r="I240" s="6"/>
      <c r="J240" s="6"/>
      <c r="K240" s="67"/>
      <c r="L240" s="7"/>
      <c r="M240" s="7"/>
      <c r="N240" s="7"/>
    </row>
    <row r="241" ht="15.75" customHeight="1">
      <c r="A241" s="1"/>
      <c r="B241" s="6"/>
      <c r="C241" s="6"/>
      <c r="D241" s="6"/>
      <c r="E241" s="6"/>
      <c r="F241" s="6"/>
      <c r="G241" s="6"/>
      <c r="H241" s="6"/>
      <c r="I241" s="6"/>
      <c r="J241" s="6"/>
      <c r="K241" s="67"/>
      <c r="L241" s="7"/>
      <c r="M241" s="7"/>
      <c r="N241" s="7"/>
    </row>
    <row r="242" ht="15.75" customHeight="1">
      <c r="A242" s="1"/>
      <c r="B242" s="6"/>
      <c r="C242" s="6"/>
      <c r="D242" s="6"/>
      <c r="E242" s="6"/>
      <c r="F242" s="6"/>
      <c r="G242" s="6"/>
      <c r="H242" s="6"/>
      <c r="I242" s="6"/>
      <c r="J242" s="6"/>
      <c r="K242" s="67"/>
      <c r="L242" s="7"/>
      <c r="M242" s="7"/>
      <c r="N242" s="7"/>
    </row>
    <row r="243" ht="15.75" customHeight="1">
      <c r="A243" s="1"/>
      <c r="B243" s="6"/>
      <c r="C243" s="6"/>
      <c r="D243" s="6"/>
      <c r="E243" s="6"/>
      <c r="F243" s="6"/>
      <c r="G243" s="6"/>
      <c r="H243" s="6"/>
      <c r="I243" s="6"/>
      <c r="J243" s="6"/>
      <c r="K243" s="67"/>
      <c r="L243" s="7"/>
      <c r="M243" s="7"/>
      <c r="N243" s="7"/>
    </row>
    <row r="244" ht="15.75" customHeight="1">
      <c r="A244" s="1"/>
      <c r="B244" s="6"/>
      <c r="C244" s="6"/>
      <c r="D244" s="6"/>
      <c r="E244" s="6"/>
      <c r="F244" s="6"/>
      <c r="G244" s="6"/>
      <c r="H244" s="6"/>
      <c r="I244" s="6"/>
      <c r="J244" s="6"/>
      <c r="K244" s="67"/>
      <c r="L244" s="7"/>
      <c r="M244" s="7"/>
      <c r="N244" s="7"/>
    </row>
    <row r="245" ht="15.75" customHeight="1">
      <c r="A245" s="1"/>
      <c r="B245" s="6"/>
      <c r="C245" s="6"/>
      <c r="D245" s="6"/>
      <c r="E245" s="6"/>
      <c r="F245" s="6"/>
      <c r="G245" s="6"/>
      <c r="H245" s="6"/>
      <c r="I245" s="6"/>
      <c r="J245" s="6"/>
      <c r="K245" s="67"/>
      <c r="L245" s="7"/>
      <c r="M245" s="7"/>
      <c r="N245" s="7"/>
    </row>
    <row r="246" ht="15.75" customHeight="1">
      <c r="A246" s="1"/>
      <c r="B246" s="6"/>
      <c r="C246" s="6"/>
      <c r="D246" s="6"/>
      <c r="E246" s="6"/>
      <c r="F246" s="6"/>
      <c r="G246" s="6"/>
      <c r="H246" s="6"/>
      <c r="I246" s="6"/>
      <c r="J246" s="6"/>
      <c r="K246" s="67"/>
      <c r="L246" s="7"/>
      <c r="M246" s="7"/>
      <c r="N246" s="7"/>
    </row>
    <row r="247" ht="15.75" customHeight="1">
      <c r="A247" s="1"/>
      <c r="B247" s="6"/>
      <c r="C247" s="6"/>
      <c r="D247" s="6"/>
      <c r="E247" s="6"/>
      <c r="F247" s="6"/>
      <c r="G247" s="6"/>
      <c r="H247" s="6"/>
      <c r="I247" s="6"/>
      <c r="J247" s="6"/>
      <c r="K247" s="67"/>
      <c r="L247" s="7"/>
      <c r="M247" s="7"/>
      <c r="N247" s="7"/>
    </row>
    <row r="248" ht="15.75" customHeight="1">
      <c r="A248" s="1"/>
      <c r="B248" s="6"/>
      <c r="C248" s="6"/>
      <c r="D248" s="6"/>
      <c r="E248" s="6"/>
      <c r="F248" s="6"/>
      <c r="G248" s="6"/>
      <c r="H248" s="6"/>
      <c r="I248" s="6"/>
      <c r="J248" s="6"/>
      <c r="K248" s="67"/>
      <c r="L248" s="7"/>
      <c r="M248" s="7"/>
      <c r="N248" s="7"/>
    </row>
    <row r="249" ht="15.75" customHeight="1">
      <c r="A249" s="1"/>
      <c r="B249" s="6"/>
      <c r="C249" s="6"/>
      <c r="D249" s="6"/>
      <c r="E249" s="6"/>
      <c r="F249" s="6"/>
      <c r="G249" s="6"/>
      <c r="H249" s="6"/>
      <c r="I249" s="6"/>
      <c r="J249" s="6"/>
      <c r="K249" s="67"/>
      <c r="L249" s="7"/>
      <c r="M249" s="7"/>
      <c r="N249" s="7"/>
    </row>
    <row r="250" ht="15.75" customHeight="1">
      <c r="A250" s="1"/>
      <c r="B250" s="6"/>
      <c r="C250" s="6"/>
      <c r="D250" s="6"/>
      <c r="E250" s="6"/>
      <c r="F250" s="6"/>
      <c r="G250" s="6"/>
      <c r="H250" s="6"/>
      <c r="I250" s="6"/>
      <c r="J250" s="6"/>
      <c r="K250" s="67"/>
      <c r="L250" s="7"/>
      <c r="M250" s="7"/>
      <c r="N250" s="7"/>
    </row>
    <row r="251" ht="15.75" customHeight="1">
      <c r="A251" s="1"/>
      <c r="B251" s="6"/>
      <c r="C251" s="6"/>
      <c r="D251" s="6"/>
      <c r="E251" s="6"/>
      <c r="F251" s="6"/>
      <c r="G251" s="6"/>
      <c r="H251" s="6"/>
      <c r="I251" s="6"/>
      <c r="J251" s="6"/>
      <c r="K251" s="67"/>
      <c r="L251" s="7"/>
      <c r="M251" s="7"/>
      <c r="N251" s="7"/>
    </row>
    <row r="252" ht="15.75" customHeight="1">
      <c r="A252" s="1"/>
      <c r="B252" s="6"/>
      <c r="C252" s="6"/>
      <c r="D252" s="6"/>
      <c r="E252" s="6"/>
      <c r="F252" s="6"/>
      <c r="G252" s="6"/>
      <c r="H252" s="6"/>
      <c r="I252" s="6"/>
      <c r="J252" s="6"/>
      <c r="K252" s="67"/>
      <c r="L252" s="7"/>
      <c r="M252" s="7"/>
      <c r="N252" s="7"/>
    </row>
    <row r="253" ht="15.75" customHeight="1">
      <c r="A253" s="1"/>
      <c r="B253" s="6"/>
      <c r="C253" s="6"/>
      <c r="D253" s="6"/>
      <c r="E253" s="6"/>
      <c r="F253" s="6"/>
      <c r="G253" s="6"/>
      <c r="H253" s="6"/>
      <c r="I253" s="6"/>
      <c r="J253" s="6"/>
      <c r="K253" s="67"/>
      <c r="L253" s="7"/>
      <c r="M253" s="7"/>
      <c r="N253" s="7"/>
    </row>
    <row r="254" ht="15.75" customHeight="1">
      <c r="A254" s="1"/>
      <c r="B254" s="6"/>
      <c r="C254" s="6"/>
      <c r="D254" s="6"/>
      <c r="E254" s="6"/>
      <c r="F254" s="6"/>
      <c r="G254" s="6"/>
      <c r="H254" s="6"/>
      <c r="I254" s="6"/>
      <c r="J254" s="6"/>
      <c r="K254" s="67"/>
      <c r="L254" s="7"/>
      <c r="M254" s="7"/>
      <c r="N254" s="7"/>
    </row>
    <row r="255" ht="15.75" customHeight="1">
      <c r="A255" s="1"/>
      <c r="B255" s="6"/>
      <c r="C255" s="6"/>
      <c r="D255" s="6"/>
      <c r="E255" s="6"/>
      <c r="F255" s="6"/>
      <c r="G255" s="6"/>
      <c r="H255" s="6"/>
      <c r="I255" s="6"/>
      <c r="J255" s="6"/>
      <c r="K255" s="67"/>
      <c r="L255" s="7"/>
      <c r="M255" s="7"/>
      <c r="N255" s="7"/>
    </row>
    <row r="256" ht="15.75" customHeight="1">
      <c r="A256" s="1"/>
      <c r="B256" s="6"/>
      <c r="C256" s="6"/>
      <c r="D256" s="6"/>
      <c r="E256" s="6"/>
      <c r="F256" s="6"/>
      <c r="G256" s="6"/>
      <c r="H256" s="6"/>
      <c r="I256" s="6"/>
      <c r="J256" s="6"/>
      <c r="K256" s="67"/>
      <c r="L256" s="7"/>
      <c r="M256" s="7"/>
      <c r="N256" s="7"/>
    </row>
    <row r="257" ht="15.75" customHeight="1">
      <c r="A257" s="1"/>
      <c r="B257" s="6"/>
      <c r="C257" s="6"/>
      <c r="D257" s="6"/>
      <c r="E257" s="6"/>
      <c r="F257" s="6"/>
      <c r="G257" s="6"/>
      <c r="H257" s="6"/>
      <c r="I257" s="6"/>
      <c r="J257" s="6"/>
      <c r="K257" s="67"/>
      <c r="L257" s="7"/>
      <c r="M257" s="7"/>
      <c r="N257" s="7"/>
    </row>
    <row r="258" ht="15.75" customHeight="1">
      <c r="A258" s="1"/>
      <c r="B258" s="6"/>
      <c r="C258" s="6"/>
      <c r="D258" s="6"/>
      <c r="E258" s="6"/>
      <c r="F258" s="6"/>
      <c r="G258" s="6"/>
      <c r="H258" s="6"/>
      <c r="I258" s="6"/>
      <c r="J258" s="6"/>
      <c r="K258" s="67"/>
      <c r="L258" s="7"/>
      <c r="M258" s="7"/>
      <c r="N258" s="7"/>
    </row>
    <row r="259" ht="15.75" customHeight="1">
      <c r="A259" s="1"/>
      <c r="B259" s="6"/>
      <c r="C259" s="6"/>
      <c r="D259" s="6"/>
      <c r="E259" s="6"/>
      <c r="F259" s="6"/>
      <c r="G259" s="6"/>
      <c r="H259" s="6"/>
      <c r="I259" s="6"/>
      <c r="J259" s="6"/>
      <c r="K259" s="67"/>
      <c r="L259" s="7"/>
      <c r="M259" s="7"/>
      <c r="N259" s="7"/>
    </row>
    <row r="260" ht="15.75" customHeight="1">
      <c r="A260" s="1"/>
      <c r="B260" s="6"/>
      <c r="C260" s="6"/>
      <c r="D260" s="6"/>
      <c r="E260" s="6"/>
      <c r="F260" s="6"/>
      <c r="G260" s="6"/>
      <c r="H260" s="6"/>
      <c r="I260" s="6"/>
      <c r="J260" s="6"/>
      <c r="K260" s="67"/>
      <c r="L260" s="7"/>
      <c r="M260" s="7"/>
      <c r="N260" s="7"/>
    </row>
    <row r="261" ht="15.75" customHeight="1">
      <c r="A261" s="1"/>
      <c r="B261" s="6"/>
      <c r="C261" s="6"/>
      <c r="D261" s="6"/>
      <c r="E261" s="6"/>
      <c r="F261" s="6"/>
      <c r="G261" s="6"/>
      <c r="H261" s="6"/>
      <c r="I261" s="6"/>
      <c r="J261" s="6"/>
      <c r="K261" s="67"/>
      <c r="L261" s="7"/>
      <c r="M261" s="7"/>
      <c r="N261" s="7"/>
    </row>
    <row r="262" ht="15.75" customHeight="1">
      <c r="A262" s="1"/>
      <c r="B262" s="6"/>
      <c r="C262" s="6"/>
      <c r="D262" s="6"/>
      <c r="E262" s="6"/>
      <c r="F262" s="6"/>
      <c r="G262" s="6"/>
      <c r="H262" s="6"/>
      <c r="I262" s="6"/>
      <c r="J262" s="6"/>
      <c r="K262" s="67"/>
      <c r="L262" s="7"/>
      <c r="M262" s="7"/>
      <c r="N262" s="7"/>
    </row>
    <row r="263" ht="15.75" customHeight="1">
      <c r="A263" s="1"/>
      <c r="B263" s="6"/>
      <c r="C263" s="6"/>
      <c r="D263" s="6"/>
      <c r="E263" s="6"/>
      <c r="F263" s="6"/>
      <c r="G263" s="6"/>
      <c r="H263" s="6"/>
      <c r="I263" s="6"/>
      <c r="J263" s="6"/>
      <c r="K263" s="67"/>
      <c r="L263" s="7"/>
      <c r="M263" s="7"/>
      <c r="N263" s="7"/>
    </row>
    <row r="264" ht="15.75" customHeight="1">
      <c r="A264" s="1"/>
      <c r="B264" s="6"/>
      <c r="C264" s="6"/>
      <c r="D264" s="6"/>
      <c r="E264" s="6"/>
      <c r="F264" s="6"/>
      <c r="G264" s="6"/>
      <c r="H264" s="6"/>
      <c r="I264" s="6"/>
      <c r="J264" s="6"/>
      <c r="K264" s="67"/>
      <c r="L264" s="7"/>
      <c r="M264" s="7"/>
      <c r="N264" s="7"/>
    </row>
    <row r="265" ht="15.75" customHeight="1">
      <c r="A265" s="1"/>
      <c r="B265" s="6"/>
      <c r="C265" s="6"/>
      <c r="D265" s="6"/>
      <c r="E265" s="6"/>
      <c r="F265" s="6"/>
      <c r="G265" s="6"/>
      <c r="H265" s="6"/>
      <c r="I265" s="6"/>
      <c r="J265" s="6"/>
      <c r="K265" s="67"/>
      <c r="L265" s="7"/>
      <c r="M265" s="7"/>
      <c r="N265" s="7"/>
    </row>
    <row r="266" ht="15.75" customHeight="1">
      <c r="A266" s="1"/>
      <c r="B266" s="6"/>
      <c r="C266" s="6"/>
      <c r="D266" s="6"/>
      <c r="E266" s="6"/>
      <c r="F266" s="6"/>
      <c r="G266" s="6"/>
      <c r="H266" s="6"/>
      <c r="I266" s="6"/>
      <c r="J266" s="6"/>
      <c r="K266" s="67"/>
      <c r="L266" s="7"/>
      <c r="M266" s="7"/>
      <c r="N266" s="7"/>
    </row>
    <row r="267" ht="15.75" customHeight="1">
      <c r="A267" s="1"/>
      <c r="B267" s="6"/>
      <c r="C267" s="6"/>
      <c r="D267" s="6"/>
      <c r="E267" s="6"/>
      <c r="F267" s="6"/>
      <c r="G267" s="6"/>
      <c r="H267" s="6"/>
      <c r="I267" s="6"/>
      <c r="J267" s="6"/>
      <c r="K267" s="67"/>
      <c r="L267" s="7"/>
      <c r="M267" s="7"/>
      <c r="N267" s="7"/>
    </row>
    <row r="268" ht="15.75" customHeight="1">
      <c r="A268" s="1"/>
      <c r="B268" s="6"/>
      <c r="C268" s="6"/>
      <c r="D268" s="6"/>
      <c r="E268" s="6"/>
      <c r="F268" s="6"/>
      <c r="G268" s="6"/>
      <c r="H268" s="6"/>
      <c r="I268" s="6"/>
      <c r="J268" s="6"/>
      <c r="K268" s="67"/>
      <c r="L268" s="7"/>
      <c r="M268" s="7"/>
      <c r="N268" s="7"/>
    </row>
    <row r="269" ht="15.75" customHeight="1">
      <c r="A269" s="1"/>
      <c r="B269" s="6"/>
      <c r="C269" s="6"/>
      <c r="D269" s="6"/>
      <c r="E269" s="6"/>
      <c r="F269" s="6"/>
      <c r="G269" s="6"/>
      <c r="H269" s="6"/>
      <c r="I269" s="6"/>
      <c r="J269" s="6"/>
      <c r="K269" s="67"/>
      <c r="L269" s="7"/>
      <c r="M269" s="7"/>
      <c r="N269" s="7"/>
    </row>
    <row r="270" ht="15.75" customHeight="1">
      <c r="A270" s="1"/>
      <c r="B270" s="6"/>
      <c r="C270" s="6"/>
      <c r="D270" s="6"/>
      <c r="E270" s="6"/>
      <c r="F270" s="6"/>
      <c r="G270" s="6"/>
      <c r="H270" s="6"/>
      <c r="I270" s="6"/>
      <c r="J270" s="6"/>
      <c r="K270" s="67"/>
      <c r="L270" s="7"/>
      <c r="M270" s="7"/>
      <c r="N270" s="7"/>
    </row>
    <row r="271" ht="15.75" customHeight="1">
      <c r="A271" s="1"/>
      <c r="B271" s="6"/>
      <c r="C271" s="6"/>
      <c r="D271" s="6"/>
      <c r="E271" s="6"/>
      <c r="F271" s="6"/>
      <c r="G271" s="6"/>
      <c r="H271" s="6"/>
      <c r="I271" s="6"/>
      <c r="J271" s="6"/>
      <c r="K271" s="67"/>
      <c r="L271" s="7"/>
      <c r="M271" s="7"/>
      <c r="N271" s="7"/>
    </row>
    <row r="272" ht="15.75" customHeight="1">
      <c r="A272" s="1"/>
      <c r="B272" s="6"/>
      <c r="C272" s="6"/>
      <c r="D272" s="6"/>
      <c r="E272" s="6"/>
      <c r="F272" s="6"/>
      <c r="G272" s="6"/>
      <c r="H272" s="6"/>
      <c r="I272" s="6"/>
      <c r="J272" s="6"/>
      <c r="K272" s="67"/>
      <c r="L272" s="7"/>
      <c r="M272" s="7"/>
      <c r="N272" s="7"/>
    </row>
    <row r="273" ht="15.75" customHeight="1">
      <c r="A273" s="1"/>
      <c r="B273" s="6"/>
      <c r="C273" s="6"/>
      <c r="D273" s="6"/>
      <c r="E273" s="6"/>
      <c r="F273" s="6"/>
      <c r="G273" s="6"/>
      <c r="H273" s="6"/>
      <c r="I273" s="6"/>
      <c r="J273" s="6"/>
      <c r="K273" s="67"/>
      <c r="L273" s="7"/>
      <c r="M273" s="7"/>
      <c r="N273" s="7"/>
    </row>
    <row r="274" ht="15.75" customHeight="1">
      <c r="A274" s="1"/>
      <c r="B274" s="6"/>
      <c r="C274" s="6"/>
      <c r="D274" s="6"/>
      <c r="E274" s="6"/>
      <c r="F274" s="6"/>
      <c r="G274" s="6"/>
      <c r="H274" s="6"/>
      <c r="I274" s="6"/>
      <c r="J274" s="6"/>
      <c r="K274" s="67"/>
      <c r="L274" s="7"/>
      <c r="M274" s="7"/>
      <c r="N274" s="7"/>
    </row>
    <row r="275" ht="15.75" customHeight="1">
      <c r="A275" s="1"/>
      <c r="B275" s="6"/>
      <c r="C275" s="6"/>
      <c r="D275" s="6"/>
      <c r="E275" s="6"/>
      <c r="F275" s="6"/>
      <c r="G275" s="6"/>
      <c r="H275" s="6"/>
      <c r="I275" s="6"/>
      <c r="J275" s="6"/>
      <c r="K275" s="67"/>
      <c r="L275" s="7"/>
      <c r="M275" s="7"/>
      <c r="N275" s="7"/>
    </row>
    <row r="276" ht="15.75" customHeight="1">
      <c r="A276" s="1"/>
      <c r="B276" s="6"/>
      <c r="C276" s="6"/>
      <c r="D276" s="6"/>
      <c r="E276" s="6"/>
      <c r="F276" s="6"/>
      <c r="G276" s="6"/>
      <c r="H276" s="6"/>
      <c r="I276" s="6"/>
      <c r="J276" s="6"/>
      <c r="K276" s="67"/>
      <c r="L276" s="7"/>
      <c r="M276" s="7"/>
      <c r="N276" s="7"/>
    </row>
    <row r="277" ht="15.75" customHeight="1">
      <c r="A277" s="1"/>
      <c r="B277" s="6"/>
      <c r="C277" s="6"/>
      <c r="D277" s="6"/>
      <c r="E277" s="6"/>
      <c r="F277" s="6"/>
      <c r="G277" s="6"/>
      <c r="H277" s="6"/>
      <c r="I277" s="6"/>
      <c r="J277" s="6"/>
      <c r="K277" s="67"/>
      <c r="L277" s="7"/>
      <c r="M277" s="7"/>
      <c r="N277" s="7"/>
    </row>
    <row r="278" ht="15.75" customHeight="1">
      <c r="A278" s="1"/>
      <c r="B278" s="6"/>
      <c r="C278" s="6"/>
      <c r="D278" s="6"/>
      <c r="E278" s="6"/>
      <c r="F278" s="6"/>
      <c r="G278" s="6"/>
      <c r="H278" s="6"/>
      <c r="I278" s="6"/>
      <c r="J278" s="6"/>
      <c r="K278" s="67"/>
      <c r="L278" s="7"/>
      <c r="M278" s="7"/>
      <c r="N278" s="7"/>
    </row>
    <row r="279" ht="15.75" customHeight="1">
      <c r="A279" s="1"/>
      <c r="B279" s="6"/>
      <c r="C279" s="6"/>
      <c r="D279" s="6"/>
      <c r="E279" s="6"/>
      <c r="F279" s="6"/>
      <c r="G279" s="6"/>
      <c r="H279" s="6"/>
      <c r="I279" s="6"/>
      <c r="J279" s="6"/>
      <c r="K279" s="67"/>
      <c r="L279" s="7"/>
      <c r="M279" s="7"/>
      <c r="N279" s="7"/>
    </row>
    <row r="280" ht="15.75" customHeight="1">
      <c r="A280" s="1"/>
      <c r="B280" s="6"/>
      <c r="C280" s="6"/>
      <c r="D280" s="6"/>
      <c r="E280" s="6"/>
      <c r="F280" s="6"/>
      <c r="G280" s="6"/>
      <c r="H280" s="6"/>
      <c r="I280" s="6"/>
      <c r="J280" s="6"/>
      <c r="K280" s="67"/>
      <c r="L280" s="7"/>
      <c r="M280" s="7"/>
      <c r="N280" s="7"/>
    </row>
    <row r="281" ht="15.75" customHeight="1">
      <c r="A281" s="1"/>
      <c r="B281" s="6"/>
      <c r="C281" s="6"/>
      <c r="D281" s="6"/>
      <c r="E281" s="6"/>
      <c r="F281" s="6"/>
      <c r="G281" s="6"/>
      <c r="H281" s="6"/>
      <c r="I281" s="6"/>
      <c r="J281" s="6"/>
      <c r="K281" s="67"/>
      <c r="L281" s="7"/>
      <c r="M281" s="7"/>
      <c r="N281" s="7"/>
    </row>
    <row r="282" ht="15.75" customHeight="1">
      <c r="A282" s="1"/>
      <c r="B282" s="6"/>
      <c r="C282" s="6"/>
      <c r="D282" s="6"/>
      <c r="E282" s="6"/>
      <c r="F282" s="6"/>
      <c r="G282" s="6"/>
      <c r="H282" s="6"/>
      <c r="I282" s="6"/>
      <c r="J282" s="6"/>
      <c r="K282" s="67"/>
      <c r="L282" s="7"/>
      <c r="M282" s="7"/>
      <c r="N282" s="7"/>
    </row>
    <row r="283" ht="15.75" customHeight="1">
      <c r="A283" s="1"/>
      <c r="B283" s="6"/>
      <c r="C283" s="6"/>
      <c r="D283" s="6"/>
      <c r="E283" s="6"/>
      <c r="F283" s="6"/>
      <c r="G283" s="6"/>
      <c r="H283" s="6"/>
      <c r="I283" s="6"/>
      <c r="J283" s="6"/>
      <c r="K283" s="67"/>
      <c r="L283" s="7"/>
      <c r="M283" s="7"/>
      <c r="N283" s="7"/>
    </row>
    <row r="284" ht="15.75" customHeight="1">
      <c r="A284" s="1"/>
      <c r="B284" s="6"/>
      <c r="C284" s="6"/>
      <c r="D284" s="6"/>
      <c r="E284" s="6"/>
      <c r="F284" s="6"/>
      <c r="G284" s="6"/>
      <c r="H284" s="6"/>
      <c r="I284" s="6"/>
      <c r="J284" s="6"/>
      <c r="K284" s="67"/>
      <c r="L284" s="7"/>
      <c r="M284" s="7"/>
      <c r="N284" s="7"/>
    </row>
    <row r="285" ht="15.75" customHeight="1">
      <c r="A285" s="1"/>
      <c r="B285" s="6"/>
      <c r="C285" s="6"/>
      <c r="D285" s="6"/>
      <c r="E285" s="6"/>
      <c r="F285" s="6"/>
      <c r="G285" s="6"/>
      <c r="H285" s="6"/>
      <c r="I285" s="6"/>
      <c r="J285" s="6"/>
      <c r="K285" s="67"/>
      <c r="L285" s="7"/>
      <c r="M285" s="7"/>
      <c r="N285" s="7"/>
    </row>
    <row r="286" ht="15.75" customHeight="1">
      <c r="A286" s="1"/>
      <c r="B286" s="6"/>
      <c r="C286" s="6"/>
      <c r="D286" s="6"/>
      <c r="E286" s="6"/>
      <c r="F286" s="6"/>
      <c r="G286" s="6"/>
      <c r="H286" s="6"/>
      <c r="I286" s="6"/>
      <c r="J286" s="6"/>
      <c r="K286" s="67"/>
      <c r="L286" s="7"/>
      <c r="M286" s="7"/>
      <c r="N286" s="7"/>
    </row>
    <row r="287" ht="15.75" customHeight="1">
      <c r="A287" s="1"/>
      <c r="B287" s="6"/>
      <c r="C287" s="6"/>
      <c r="D287" s="6"/>
      <c r="E287" s="6"/>
      <c r="F287" s="6"/>
      <c r="G287" s="6"/>
      <c r="H287" s="6"/>
      <c r="I287" s="6"/>
      <c r="J287" s="6"/>
      <c r="K287" s="67"/>
      <c r="L287" s="7"/>
      <c r="M287" s="7"/>
      <c r="N287" s="7"/>
    </row>
    <row r="288" ht="15.75" customHeight="1">
      <c r="A288" s="1"/>
      <c r="B288" s="6"/>
      <c r="C288" s="6"/>
      <c r="D288" s="6"/>
      <c r="E288" s="6"/>
      <c r="F288" s="6"/>
      <c r="G288" s="6"/>
      <c r="H288" s="6"/>
      <c r="I288" s="6"/>
      <c r="J288" s="6"/>
      <c r="K288" s="67"/>
      <c r="L288" s="7"/>
      <c r="M288" s="7"/>
      <c r="N288" s="7"/>
    </row>
    <row r="289" ht="15.75" customHeight="1">
      <c r="A289" s="1"/>
      <c r="B289" s="6"/>
      <c r="C289" s="6"/>
      <c r="D289" s="6"/>
      <c r="E289" s="6"/>
      <c r="F289" s="6"/>
      <c r="G289" s="6"/>
      <c r="H289" s="6"/>
      <c r="I289" s="6"/>
      <c r="J289" s="6"/>
      <c r="K289" s="67"/>
      <c r="L289" s="7"/>
      <c r="M289" s="7"/>
      <c r="N289" s="7"/>
    </row>
    <row r="290" ht="15.75" customHeight="1">
      <c r="A290" s="1"/>
      <c r="B290" s="6"/>
      <c r="C290" s="6"/>
      <c r="D290" s="6"/>
      <c r="E290" s="6"/>
      <c r="F290" s="6"/>
      <c r="G290" s="6"/>
      <c r="H290" s="6"/>
      <c r="I290" s="6"/>
      <c r="J290" s="6"/>
      <c r="K290" s="67"/>
      <c r="L290" s="7"/>
      <c r="M290" s="7"/>
      <c r="N290" s="7"/>
    </row>
    <row r="291" ht="15.75" customHeight="1">
      <c r="A291" s="1"/>
      <c r="B291" s="6"/>
      <c r="C291" s="6"/>
      <c r="D291" s="6"/>
      <c r="E291" s="6"/>
      <c r="F291" s="6"/>
      <c r="G291" s="6"/>
      <c r="H291" s="6"/>
      <c r="I291" s="6"/>
      <c r="J291" s="6"/>
      <c r="K291" s="67"/>
      <c r="L291" s="7"/>
      <c r="M291" s="7"/>
      <c r="N291" s="7"/>
    </row>
    <row r="292" ht="15.75" customHeight="1">
      <c r="A292" s="1"/>
      <c r="B292" s="6"/>
      <c r="C292" s="6"/>
      <c r="D292" s="6"/>
      <c r="E292" s="6"/>
      <c r="F292" s="6"/>
      <c r="G292" s="6"/>
      <c r="H292" s="6"/>
      <c r="I292" s="6"/>
      <c r="J292" s="6"/>
      <c r="K292" s="67"/>
      <c r="L292" s="7"/>
      <c r="M292" s="7"/>
      <c r="N292" s="7"/>
    </row>
    <row r="293" ht="15.75" customHeight="1">
      <c r="A293" s="1"/>
      <c r="B293" s="6"/>
      <c r="C293" s="6"/>
      <c r="D293" s="6"/>
      <c r="E293" s="6"/>
      <c r="F293" s="6"/>
      <c r="G293" s="6"/>
      <c r="H293" s="6"/>
      <c r="I293" s="6"/>
      <c r="J293" s="6"/>
      <c r="K293" s="67"/>
      <c r="L293" s="7"/>
      <c r="M293" s="7"/>
      <c r="N293" s="7"/>
    </row>
    <row r="294" ht="15.75" customHeight="1">
      <c r="A294" s="1"/>
      <c r="B294" s="6"/>
      <c r="C294" s="6"/>
      <c r="D294" s="6"/>
      <c r="E294" s="6"/>
      <c r="F294" s="6"/>
      <c r="G294" s="6"/>
      <c r="H294" s="6"/>
      <c r="I294" s="6"/>
      <c r="J294" s="6"/>
      <c r="K294" s="67"/>
      <c r="L294" s="7"/>
      <c r="M294" s="7"/>
      <c r="N294" s="7"/>
    </row>
    <row r="295" ht="15.75" customHeight="1">
      <c r="A295" s="1"/>
      <c r="B295" s="6"/>
      <c r="C295" s="6"/>
      <c r="D295" s="6"/>
      <c r="E295" s="6"/>
      <c r="F295" s="6"/>
      <c r="G295" s="6"/>
      <c r="H295" s="6"/>
      <c r="I295" s="6"/>
      <c r="J295" s="6"/>
      <c r="K295" s="67"/>
      <c r="L295" s="7"/>
      <c r="M295" s="7"/>
      <c r="N295" s="7"/>
    </row>
    <row r="296" ht="15.75" customHeight="1">
      <c r="A296" s="1"/>
      <c r="B296" s="6"/>
      <c r="C296" s="6"/>
      <c r="D296" s="6"/>
      <c r="E296" s="6"/>
      <c r="F296" s="6"/>
      <c r="G296" s="6"/>
      <c r="H296" s="6"/>
      <c r="I296" s="6"/>
      <c r="J296" s="6"/>
      <c r="K296" s="67"/>
      <c r="L296" s="7"/>
      <c r="M296" s="7"/>
      <c r="N296" s="7"/>
    </row>
    <row r="297" ht="15.75" customHeight="1">
      <c r="A297" s="1"/>
      <c r="B297" s="6"/>
      <c r="C297" s="6"/>
      <c r="D297" s="6"/>
      <c r="E297" s="6"/>
      <c r="F297" s="6"/>
      <c r="G297" s="6"/>
      <c r="H297" s="6"/>
      <c r="I297" s="6"/>
      <c r="J297" s="6"/>
      <c r="K297" s="67"/>
      <c r="L297" s="7"/>
      <c r="M297" s="7"/>
      <c r="N297" s="7"/>
    </row>
    <row r="298" ht="15.75" customHeight="1">
      <c r="A298" s="1"/>
      <c r="B298" s="6"/>
      <c r="C298" s="6"/>
      <c r="D298" s="6"/>
      <c r="E298" s="6"/>
      <c r="F298" s="6"/>
      <c r="G298" s="6"/>
      <c r="H298" s="6"/>
      <c r="I298" s="6"/>
      <c r="J298" s="6"/>
      <c r="K298" s="67"/>
      <c r="L298" s="7"/>
      <c r="M298" s="7"/>
      <c r="N298" s="7"/>
    </row>
    <row r="299" ht="15.75" customHeight="1">
      <c r="A299" s="1"/>
      <c r="B299" s="6"/>
      <c r="C299" s="6"/>
      <c r="D299" s="6"/>
      <c r="E299" s="6"/>
      <c r="F299" s="6"/>
      <c r="G299" s="6"/>
      <c r="H299" s="6"/>
      <c r="I299" s="6"/>
      <c r="J299" s="6"/>
      <c r="K299" s="67"/>
      <c r="L299" s="7"/>
      <c r="M299" s="7"/>
      <c r="N299" s="7"/>
    </row>
    <row r="300" ht="15.75" customHeight="1">
      <c r="A300" s="1"/>
      <c r="B300" s="6"/>
      <c r="C300" s="6"/>
      <c r="D300" s="6"/>
      <c r="E300" s="6"/>
      <c r="F300" s="6"/>
      <c r="G300" s="6"/>
      <c r="H300" s="6"/>
      <c r="I300" s="6"/>
      <c r="J300" s="6"/>
      <c r="K300" s="67"/>
      <c r="L300" s="7"/>
      <c r="M300" s="7"/>
      <c r="N300" s="7"/>
    </row>
    <row r="301" ht="15.75" customHeight="1">
      <c r="A301" s="1"/>
      <c r="B301" s="6"/>
      <c r="C301" s="6"/>
      <c r="D301" s="6"/>
      <c r="E301" s="6"/>
      <c r="F301" s="6"/>
      <c r="G301" s="6"/>
      <c r="H301" s="6"/>
      <c r="I301" s="6"/>
      <c r="J301" s="6"/>
      <c r="K301" s="67"/>
      <c r="L301" s="7"/>
      <c r="M301" s="7"/>
      <c r="N301" s="7"/>
    </row>
    <row r="302" ht="15.75" customHeight="1">
      <c r="A302" s="1"/>
      <c r="B302" s="6"/>
      <c r="C302" s="6"/>
      <c r="D302" s="6"/>
      <c r="E302" s="6"/>
      <c r="F302" s="6"/>
      <c r="G302" s="6"/>
      <c r="H302" s="6"/>
      <c r="I302" s="6"/>
      <c r="J302" s="6"/>
      <c r="K302" s="67"/>
      <c r="L302" s="7"/>
      <c r="M302" s="7"/>
      <c r="N302" s="7"/>
    </row>
    <row r="303" ht="15.75" customHeight="1">
      <c r="A303" s="1"/>
      <c r="B303" s="6"/>
      <c r="C303" s="6"/>
      <c r="D303" s="6"/>
      <c r="E303" s="6"/>
      <c r="F303" s="6"/>
      <c r="G303" s="6"/>
      <c r="H303" s="6"/>
      <c r="I303" s="6"/>
      <c r="J303" s="6"/>
      <c r="K303" s="67"/>
      <c r="L303" s="7"/>
      <c r="M303" s="7"/>
      <c r="N303" s="7"/>
    </row>
    <row r="304" ht="15.75" customHeight="1">
      <c r="A304" s="1"/>
      <c r="B304" s="6"/>
      <c r="C304" s="6"/>
      <c r="D304" s="6"/>
      <c r="E304" s="6"/>
      <c r="F304" s="6"/>
      <c r="G304" s="6"/>
      <c r="H304" s="6"/>
      <c r="I304" s="6"/>
      <c r="J304" s="6"/>
      <c r="K304" s="67"/>
      <c r="L304" s="7"/>
      <c r="M304" s="7"/>
      <c r="N304" s="7"/>
    </row>
    <row r="305" ht="15.75" customHeight="1">
      <c r="A305" s="1"/>
      <c r="B305" s="6"/>
      <c r="C305" s="6"/>
      <c r="D305" s="6"/>
      <c r="E305" s="6"/>
      <c r="F305" s="6"/>
      <c r="G305" s="6"/>
      <c r="H305" s="6"/>
      <c r="I305" s="6"/>
      <c r="J305" s="6"/>
      <c r="K305" s="67"/>
      <c r="L305" s="7"/>
      <c r="M305" s="7"/>
      <c r="N305" s="7"/>
    </row>
    <row r="306" ht="15.75" customHeight="1">
      <c r="A306" s="1"/>
      <c r="B306" s="6"/>
      <c r="C306" s="6"/>
      <c r="D306" s="6"/>
      <c r="E306" s="6"/>
      <c r="F306" s="6"/>
      <c r="G306" s="6"/>
      <c r="H306" s="6"/>
      <c r="I306" s="6"/>
      <c r="J306" s="6"/>
      <c r="K306" s="67"/>
      <c r="L306" s="7"/>
      <c r="M306" s="7"/>
      <c r="N306" s="7"/>
    </row>
    <row r="307" ht="15.75" customHeight="1">
      <c r="A307" s="1"/>
      <c r="B307" s="6"/>
      <c r="C307" s="6"/>
      <c r="D307" s="6"/>
      <c r="E307" s="6"/>
      <c r="F307" s="6"/>
      <c r="G307" s="6"/>
      <c r="H307" s="6"/>
      <c r="I307" s="6"/>
      <c r="J307" s="6"/>
      <c r="K307" s="67"/>
      <c r="L307" s="7"/>
      <c r="M307" s="7"/>
      <c r="N307" s="7"/>
    </row>
    <row r="308" ht="15.75" customHeight="1">
      <c r="A308" s="1"/>
      <c r="B308" s="6"/>
      <c r="C308" s="6"/>
      <c r="D308" s="6"/>
      <c r="E308" s="6"/>
      <c r="F308" s="6"/>
      <c r="G308" s="6"/>
      <c r="H308" s="6"/>
      <c r="I308" s="6"/>
      <c r="J308" s="6"/>
      <c r="K308" s="67"/>
      <c r="L308" s="7"/>
      <c r="M308" s="7"/>
      <c r="N308" s="7"/>
    </row>
    <row r="309" ht="15.75" customHeight="1">
      <c r="A309" s="1"/>
      <c r="B309" s="6"/>
      <c r="C309" s="6"/>
      <c r="D309" s="6"/>
      <c r="E309" s="6"/>
      <c r="F309" s="6"/>
      <c r="G309" s="6"/>
      <c r="H309" s="6"/>
      <c r="I309" s="6"/>
      <c r="J309" s="6"/>
      <c r="K309" s="67"/>
      <c r="L309" s="7"/>
      <c r="M309" s="7"/>
      <c r="N309" s="7"/>
    </row>
    <row r="310" ht="15.75" customHeight="1">
      <c r="A310" s="1"/>
      <c r="B310" s="6"/>
      <c r="C310" s="6"/>
      <c r="D310" s="6"/>
      <c r="E310" s="6"/>
      <c r="F310" s="6"/>
      <c r="G310" s="6"/>
      <c r="H310" s="6"/>
      <c r="I310" s="6"/>
      <c r="J310" s="6"/>
      <c r="K310" s="67"/>
      <c r="L310" s="7"/>
      <c r="M310" s="7"/>
      <c r="N310" s="7"/>
    </row>
    <row r="311" ht="15.75" customHeight="1">
      <c r="A311" s="1"/>
      <c r="B311" s="6"/>
      <c r="C311" s="6"/>
      <c r="D311" s="6"/>
      <c r="E311" s="6"/>
      <c r="F311" s="6"/>
      <c r="G311" s="6"/>
      <c r="H311" s="6"/>
      <c r="I311" s="6"/>
      <c r="J311" s="6"/>
      <c r="K311" s="6"/>
      <c r="L311" s="7"/>
      <c r="M311" s="7"/>
      <c r="N311" s="7"/>
    </row>
    <row r="312" ht="15.75" customHeight="1">
      <c r="A312" s="1"/>
      <c r="B312" s="6"/>
      <c r="C312" s="6"/>
      <c r="D312" s="6"/>
      <c r="E312" s="6"/>
      <c r="F312" s="6"/>
      <c r="G312" s="6"/>
      <c r="H312" s="6"/>
      <c r="I312" s="6"/>
      <c r="J312" s="6"/>
      <c r="K312" s="6"/>
      <c r="L312" s="7"/>
      <c r="M312" s="7"/>
      <c r="N312" s="7"/>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5">
      <formula1>"High,Medium,Low,Urgent"</formula1>
    </dataValidation>
  </dataValidations>
  <hyperlinks>
    <hyperlink r:id="rId1" ref="D17"/>
    <hyperlink r:id="rId2" ref="D19"/>
    <hyperlink r:id="rId3" ref="D27"/>
    <hyperlink r:id="rId4" ref="D62"/>
    <hyperlink r:id="rId5" ref="E64"/>
    <hyperlink r:id="rId6" ref="D81"/>
  </hyperlinks>
  <printOptions/>
  <pageMargins bottom="0.75" footer="0.0" header="0.0" left="0.7" right="0.7" top="0.75"/>
  <pageSetup orientation="portrait"/>
  <drawing r:id="rId7"/>
</worksheet>
</file>